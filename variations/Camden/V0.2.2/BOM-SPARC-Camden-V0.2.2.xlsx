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Smart-Pack-for-Advanced-Research-and-Control\variations\Camden\V0.2.2\"/>
    </mc:Choice>
  </mc:AlternateContent>
  <xr:revisionPtr revIDLastSave="0" documentId="13_ncr:1_{F2422D35-C0EE-4BF7-8AD9-798488D44856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52" i="1"/>
  <c r="F51" i="1"/>
  <c r="F28" i="1" l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13" i="1"/>
  <c r="F9" i="1"/>
  <c r="F27" i="1"/>
  <c r="F26" i="1"/>
  <c r="F25" i="1"/>
  <c r="F19" i="1"/>
  <c r="F3" i="1"/>
  <c r="F4" i="1"/>
  <c r="F5" i="1"/>
  <c r="F6" i="1"/>
  <c r="F7" i="1"/>
  <c r="F8" i="1"/>
  <c r="F11" i="1"/>
  <c r="F12" i="1"/>
  <c r="F14" i="1"/>
  <c r="F15" i="1"/>
  <c r="F16" i="1"/>
  <c r="F18" i="1"/>
  <c r="F20" i="1"/>
  <c r="F21" i="1"/>
  <c r="F22" i="1"/>
  <c r="F23" i="1"/>
  <c r="F24" i="1"/>
  <c r="F2" i="1"/>
  <c r="F59" i="1" l="1"/>
</calcChain>
</file>

<file path=xl/sharedStrings.xml><?xml version="1.0" encoding="utf-8"?>
<sst xmlns="http://schemas.openxmlformats.org/spreadsheetml/2006/main" count="182" uniqueCount="177">
  <si>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</si>
  <si>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</si>
  <si>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</si>
  <si>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</si>
  <si>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</si>
  <si>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</si>
  <si>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</si>
  <si>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</si>
  <si>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</si>
  <si>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</si>
  <si>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</si>
  <si>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Box</t>
  </si>
  <si>
    <t>Controller</t>
  </si>
  <si>
    <t>Cells</t>
  </si>
  <si>
    <t xml:space="preserve"> Samsung 30Q</t>
  </si>
  <si>
    <t>https://www.batteryjunction.com/products/samsung-30q-18650-3000-flat</t>
  </si>
  <si>
    <t>RITTAL Enclosure: Steel, 15 in x 13 in x 10 in, NEMA 4, Solid Cover, Hinged</t>
  </si>
  <si>
    <t>https://www.grainger.com/product/RITTAL-Enclosure-Steel-5AAC4?opr=ILOF</t>
  </si>
  <si>
    <t>https://www.ni.com/en-us/shop/model/crio-9054.html?srsltid=AfmBOoq0A8xv-ChosheRHcCRAUHUJLYSkhBEQdFDCxzuASYQjEF_A3Oq</t>
  </si>
  <si>
    <t>cRIO-9054</t>
  </si>
  <si>
    <t>strain DAQ</t>
  </si>
  <si>
    <t>NI-9236</t>
  </si>
  <si>
    <t>https://www.ni.com/en-us/shop/model/ni-9236.html?srsltid=AfmBOorMY5vEvxvX3ChJ7onLrgeEJ12iARSG8zOQW9Ncc0Uy1GemXkRh</t>
  </si>
  <si>
    <t>NI-9221</t>
  </si>
  <si>
    <t>Total</t>
  </si>
  <si>
    <t>R-10 XPS Rigid Foam Board</t>
  </si>
  <si>
    <t>Foam board</t>
  </si>
  <si>
    <t>https://www.homedepot.com/p/Owens-Corning-FOAMULAR-NGX-F-250-2-in-x-4-ft-x-8-ft-SSE-R-10-XPS-Rigid-Foam-Board-Insulation-52DDNGX/315197962</t>
  </si>
  <si>
    <t>https://www.ni.com/en-us/shop/model/ni-9221.html?srsltid=AfmBOoqgNdBlJLWKt_CAMn-EyKML-TbdpQJdRbGEM1RJt10IrXeVL-vD</t>
  </si>
  <si>
    <t>voltage module</t>
  </si>
  <si>
    <t>https://powerwerx.com/anderson-sb50-panel-chassis-mount</t>
  </si>
  <si>
    <t>Powerwerx PanelPlateSB1 for Anderson SB50 Series Connectors</t>
  </si>
  <si>
    <t>https://powerwerx.com/red-black-bonded-zip-cord</t>
  </si>
  <si>
    <t>https://www.digikey.com/en/products/detail/micro-measurements-division-of-vishay-precision-group/MMF404146/9857834</t>
  </si>
  <si>
    <t>thermocouple probe</t>
  </si>
  <si>
    <t>thermocouple fitting</t>
  </si>
  <si>
    <t>TEMPCO Thermocouple Probe: Thermocouple, Type K, 3/16 in x 3 in Probe, Grounded, Split Leads</t>
  </si>
  <si>
    <t>TEMPCO Compression Fitting: 1/8 in MNPT, For Sensor with 3/16 in OD Sheath Sensor Type</t>
  </si>
  <si>
    <t>https://www.grainger.com/product/TEMPCO-Thermocouple-Probe-Thermocouple-3AAA2?opr=ODOH&amp;analytics=FM:Order%20History</t>
  </si>
  <si>
    <t>https://www.grainger.com/product/TEMPCO-Compression-Fitting-1-8-in-5ZY28?opr=ODOH&amp;analytics=FM:Order%20History</t>
  </si>
  <si>
    <t>https://www.grainger.com/product/LOCTITE-Instant-Adhesive-401-2VFG1?opr=ODOH&amp;analytics=FM:Order%20History</t>
  </si>
  <si>
    <t>Strain Gauge Glue</t>
  </si>
  <si>
    <t>LOCTITE Instant Adhesive: 401, Plastics, 0.1 fl oz, Tube</t>
  </si>
  <si>
    <t>cold plate</t>
  </si>
  <si>
    <t>Ohmite CP4A-114A-108E-ND</t>
  </si>
  <si>
    <t>https://www.digikey.com/en/products/detail/ohmite/CP4A-114A-108E/3439805</t>
  </si>
  <si>
    <t>t-Global Technology 1168-TG-AH486-150-150-1.0-0-ND</t>
  </si>
  <si>
    <t>thermal pad</t>
  </si>
  <si>
    <t>https://www.digikey.com/en/products/detail/t-global-technology/TG-AH486-150-150-1-0-0/3042048</t>
  </si>
  <si>
    <t>SPEEDAIRE Barbed Hose Fitting: For 5/16 in Hose I.D., Hose Barb x NPT, 5/16 in x 1/4 in Fitting Size</t>
  </si>
  <si>
    <t>Barb fitting</t>
  </si>
  <si>
    <t>Tubing: PVC, 3/8 in Inside Dia, 1/2 in Outside Dia, 5 ft Lg, Clear, Polyester Braid</t>
  </si>
  <si>
    <t>https://www.grainger.com/product/Tubing-PVC-742T39?gucid=N:N:PS:Paid:GGL:CSM-2295:K2UWC0:20500801:APZ_1&amp;gclsrc=aw.ds&amp;gad_source=1&amp;gad_campaignid=21369463827&amp;gclid=Cj0KCQjwuKnGBhD5ARIsAD19RsZM3cz01djgGkrXBnkh3m7nPFZOvY62h02uQEeZVQfYnXJ_JFcZpUAaAuKSEALw_wcB</t>
  </si>
  <si>
    <t>hose clamp</t>
  </si>
  <si>
    <t>FINECABLES Connector: Cat5e/Cat6, Industrial, Panel, Female, Phosphor Bronze, IP67, Female</t>
  </si>
  <si>
    <t>https://www.grainger.com/product/808CD1?gucid=N:N:PS:Paid:GGL:CSM-2295:7BE6NS:20500801:APZ_1&amp;gad_source=1&amp;gad_campaignid=21375776111&amp;gclid=Cj0KCQjwuKnGBhD5ARIsAD19RsbHQcyep7PPjisrd0mChi3fKdhODtjdrd7afpnvEkxBICpIYsa_CIMaAp4sEALw_wcB&amp;gclsrc=aw.ds</t>
  </si>
  <si>
    <t>DIN rail power supply</t>
  </si>
  <si>
    <t>MEAN WELL USA Inc. 1866-3518-ND</t>
  </si>
  <si>
    <t>https://www.digikey.com/en/products/detail/mean-well-usa-inc/NDR-120-24/7705220</t>
  </si>
  <si>
    <t>DIN Rail</t>
  </si>
  <si>
    <t>APPROVED VENDOR Mounting Track: DIN Rail Mounting, Aluminum, 35 mm Wd, 305 mm Lg</t>
  </si>
  <si>
    <t>https://www.grainger.com/product/Mounting-Track-DIN-Rail-Mounting-18Z759</t>
  </si>
  <si>
    <t>DIN Rail 80 amp breaker</t>
  </si>
  <si>
    <t>https://www.grainger.com/product/SIEMENS-IEC-Supplementary-Protector-30XZ33</t>
  </si>
  <si>
    <t>SIEMENS IEC Supplementary Protector: 80 A Amps, 72V DC, 10kA at 230/400V AC, Screw Clamp</t>
  </si>
  <si>
    <t>power contacts</t>
  </si>
  <si>
    <t>6 gauge red and black wire</t>
  </si>
  <si>
    <t>Wire-RB-06-25</t>
  </si>
  <si>
    <t>https://www.digikey.com/en/products/detail/anderson-power-products-inc/5900-BK/10650563</t>
  </si>
  <si>
    <t>Anderson Power Products 5900-BK</t>
  </si>
  <si>
    <t>https://www.grainger.com/product/5PZR3?gucid=N:N:PS:Paid:GGL:CSM-2295:DDJWUR:20500801:APZ_1&amp;gclsrc=aw.ds&amp;gad_source=1&amp;gad_campaignid=21379885351&amp;gclid=Cj0KCQjwuKnGBhD5ARIsAD19RsbdymUQqUtYnAXBF1774w4jJdCOiHtys_Y9P4gyvz2tfj_8QtqMd1gaAg0mEALw_wcB</t>
  </si>
  <si>
    <t>MONOPRICE Voice and Data Patch Cord: Unshielded, Cat 5e, 1 ft</t>
  </si>
  <si>
    <t>NI-9213</t>
  </si>
  <si>
    <t>thermocouple input module</t>
  </si>
  <si>
    <t>https://www.ni.com/en-us/shop/model/ni-9213.html</t>
  </si>
  <si>
    <t>TEMPCO Thermocouple Wire</t>
  </si>
  <si>
    <t>TEMPCO Thermocouple Wire: Type J, 20 AWG Conductor Size, 100 ft</t>
  </si>
  <si>
    <t>Thermocouple, Type K</t>
  </si>
  <si>
    <t>Bead Wire Temperature Probe: Thermocouple, Type K, Ungrounded, Mini Plug, Bolt-On</t>
  </si>
  <si>
    <t>https://www.grainger.com/product/Bead-Wire-Temperature-Probe-4JPL6</t>
  </si>
  <si>
    <t>https://www.digikey.com/en/products/detail/phoenix-contact/2761619/349453</t>
  </si>
  <si>
    <t>Phoenix Contact 2761619</t>
  </si>
  <si>
    <t>D-sub 25 break out</t>
  </si>
  <si>
    <t>voltage sense wire</t>
  </si>
  <si>
    <t>https://www.digikey.com/en/products/detail/molex/0191930226/1952713</t>
  </si>
  <si>
    <t>Molex 0191930226</t>
  </si>
  <si>
    <t>6 gauge ring connectors</t>
  </si>
  <si>
    <t>Nickel Strips</t>
  </si>
  <si>
    <t>Nickel Strips For Lithium Battery Pack Welding (10m 0.2X6mm)</t>
  </si>
  <si>
    <t>https://www.aliexpress.us/item/3256805148780496.html?gatewayAdapt=glo2usa4itemAdapt</t>
  </si>
  <si>
    <t>https://www.digikey.com/en/products/detail/ni/785996-01/15219166</t>
  </si>
  <si>
    <t>https://www.digikey.com/en/products/detail/ni/786425-01/16648375?s=N4IgTCBcDaIMYCUCSB5AtATgAwFYAsIAugL5A</t>
  </si>
  <si>
    <t>https://www.digikey.com/en/products/detail/ni/779373-01/15219106</t>
  </si>
  <si>
    <t>https://www.digikey.com/en/products/detail/ni/785185-01/15218920</t>
  </si>
  <si>
    <t>PLA</t>
  </si>
  <si>
    <t>https://us.store.bambulab.com/products/pla-basic-filament?id=40475107000456</t>
  </si>
  <si>
    <t>PLA Basic - red</t>
  </si>
  <si>
    <t>power plug</t>
  </si>
  <si>
    <t>https://www.grainger.com/product/TEMPCO-Thermocouple-Wire-Type-K-3AGF3</t>
  </si>
  <si>
    <t>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</t>
  </si>
  <si>
    <t>IEC C14 SCREW ON PANEL MOUNT W</t>
  </si>
  <si>
    <t>115V power plug</t>
  </si>
  <si>
    <t>CONFORMAL COATING UL 94V-0</t>
  </si>
  <si>
    <t>Strain Gauge Coating</t>
  </si>
  <si>
    <t>https://www.digikey.com/en/products/detail/mg-chemicals/419D-55ML/9657990</t>
  </si>
  <si>
    <t>Ethernet cable</t>
  </si>
  <si>
    <t>braded PVC tubing</t>
  </si>
  <si>
    <t>panel Ethernet</t>
  </si>
  <si>
    <t>https://www.grainger.com/product/Fuel-Injection-Hose-Clamp-5CZC5</t>
  </si>
  <si>
    <t>Fuel Injection Hose Clamp: Zinc-Plated Steel Band, 1/2 in – 9/16 in Dia., SAE # 6, 10 PK</t>
  </si>
  <si>
    <t>https://www.grainger.com/product/SPEEDAIRE-Barbed-Hose-Fitting-For-3-6AFN8</t>
  </si>
  <si>
    <t>tee to thermocouple reducer</t>
  </si>
  <si>
    <t>3/8 in Tee</t>
  </si>
  <si>
    <t>Tee: Red Brass, 3/8 in x 3/8 in x 3/8 in Fitting Pipe Size, Female NPT x Female NPT x Female NPT</t>
  </si>
  <si>
    <t>https://www.grainger.com/product/Tee-Red-Brass-1VEZ1?opr=PDPRRDSP&amp;analytics=dsrrItems_1CPF5</t>
  </si>
  <si>
    <t>Hex Bushing: Brass, 3/8 in x 1/8 in Fitting Pipe Size, Male NPT x Female NPT, Class 150</t>
  </si>
  <si>
    <t>https://www.grainger.com/product/Hex-Bushing-Brass-6AYW6</t>
  </si>
  <si>
    <t>Anchor Coupling: Brass, 3/8 in x 3/8 in Fitting Pipe Size, Male NPT x Female NPT</t>
  </si>
  <si>
    <t>panel mount dual female mpt</t>
  </si>
  <si>
    <t>https://www.grainger.com/product/PARKER-Anchor-Coupling-Brass-13Y869?opr=ODOH&amp;analytics=FM:Order%20History</t>
  </si>
  <si>
    <t>pipe through washerers</t>
  </si>
  <si>
    <t>https://www.grainger.com/product/Flat-Washer-18-8-22UG44</t>
  </si>
  <si>
    <t>Flat Washer: 18-8, Stainless Steel, 1 in Screw Sz, 1.063 in In Dia, 2 in Out Dia, 18-8, 5 PK</t>
  </si>
  <si>
    <t>Pump</t>
  </si>
  <si>
    <t>Kamoer DIP1500 Peristaltic Pump 24V 1500Ml/Min High Flow Intelligent</t>
  </si>
  <si>
    <t>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</t>
  </si>
  <si>
    <t>https://www.grainger.com/product/Compression-Fitting-Adapter-46M551</t>
  </si>
  <si>
    <t xml:space="preserve">Notes </t>
  </si>
  <si>
    <t>stright 3/8 compression fitting</t>
  </si>
  <si>
    <t>APPROVED VENDOR Compression Fitting Adapter: 3/8 in OD x 3/8 in Pipe Fitting Size, Brass</t>
  </si>
  <si>
    <t>If you have 1 of these, you could get rid of one of the 3/8 barb fittings from the tee to the pipe</t>
  </si>
  <si>
    <t xml:space="preserve"> https://www.grainger.com/product/MILWAUKEE-Hole-Saw-1-in-Saw-Dia-856EV8</t>
  </si>
  <si>
    <t>1 inch Hole Saw</t>
  </si>
  <si>
    <t>MILWAUKEE Hole Saw: 1 in Saw Dia., 3.5 Teeth per Inch, 1 5/8 in Max. Cutting Dp, Bi-Metal</t>
  </si>
  <si>
    <t>Extension Spring</t>
  </si>
  <si>
    <t xml:space="preserve"> https://www.mcmaster.com/9432K48/</t>
  </si>
  <si>
    <t>Music-Wire Steel Extension Springs with Hook Ends</t>
  </si>
  <si>
    <t>the total cost is actually the price of 6 since that is the lowest it is sold at</t>
  </si>
  <si>
    <t>https://www.fastenal.com/product/details/923785687</t>
  </si>
  <si>
    <t>contact bolt</t>
  </si>
  <si>
    <t>https://www.grainger.com/product/Hex-Head-Cap-Screw-Stainless-22TF95</t>
  </si>
  <si>
    <t>Hex Head Cap Screw: Stainless Steel, A2, Plain, M6-1.00, Coarse, 16 mm lg,</t>
  </si>
  <si>
    <t>pack of 50, need 2</t>
  </si>
  <si>
    <t>contact nut</t>
  </si>
  <si>
    <t>contact washer</t>
  </si>
  <si>
    <t>https://www.grainger.com/product/Flat-Washer-18-8-26WC34</t>
  </si>
  <si>
    <t>https://www.grainger.com/product/Hex-Nut-Std-Hex-22YK33</t>
  </si>
  <si>
    <t>Flat Washer: 18-8, Stainless Steel, M6 Screw Sz, 6.62 mm In Dia, 12 mm Out Dia, 18-8, 50 PK</t>
  </si>
  <si>
    <t>Hex Nut: Std Hex, M6x1.00 Thread, 10 mm Hex Wd, 5 mm Hex Ht, Stainless Steel, 18-8, Plain, 50 PK</t>
  </si>
  <si>
    <t>22 gauge red wire</t>
  </si>
  <si>
    <t>22 gauge black wire</t>
  </si>
  <si>
    <t>APPROVED VENDOR Automotive Wire: TXL, 100 ft, 1 Conductor, 22 AWG, Black, 60 V Volt</t>
  </si>
  <si>
    <t>https://www.grainger.com/product/Automotive-Wire-TXL-862FY9</t>
  </si>
  <si>
    <t>APPROVED VENDOR Automotive Wire: TXL, 100 ft, 1 Conductor, 22 AWG, Red, 60 V Volt</t>
  </si>
  <si>
    <t>https://www.grainger.com/product/Automotive-Wire-TXL-862FZ5</t>
  </si>
  <si>
    <t>https://www.digikey.com/en/products/detail/sparkfun-electronics/08023/6833929</t>
  </si>
  <si>
    <t>22 gauge solid hook up wire</t>
  </si>
  <si>
    <t>strain gauge (9 ft lead)</t>
  </si>
  <si>
    <t>strain gauge (3 ft lead)</t>
  </si>
  <si>
    <t>C4A-06-235SLA-350-39P</t>
  </si>
  <si>
    <t>C4A-06-235SLA-350-33P</t>
  </si>
  <si>
    <t>https://www.digikey.com/en/products/detail/micro-measurements-division-of-vishay-precision-group/C4A-06-235SLA-350-33P/16580673</t>
  </si>
  <si>
    <t>https://shop.micro-measurements.com/my_cart_item_list.php?v_cat_code=STRESS_ANALYSIS_STRAIN_GAGE</t>
  </si>
  <si>
    <t>NI-9209 with D-sub (783729-01)</t>
  </si>
  <si>
    <t>NI Analog Voltage in</t>
  </si>
  <si>
    <t>https://www.digikey.com/en/products/detail/ni/783729-01/15219085</t>
  </si>
  <si>
    <t>https://www.ni.com/en/shop/hardware/voltage/model-ni-9209?srsltid=AfmBOor7Lxlk-Bc63Rm3pHBdRV0FkdxyXFu65pzzLkmQPxDcSqa-YH_y#783729-01</t>
  </si>
  <si>
    <t>https://www.newark.com/ni/783729-01/ni-9209-voltage-input-module-24bit/dp/13AJ4083</t>
  </si>
  <si>
    <t>Dsub connector</t>
  </si>
  <si>
    <t>Amphenol ICC (FCI) D37S13A6GX00LF</t>
  </si>
  <si>
    <t>https://www.digikey.com/en/products/detail/amphenol-cs-fci/D37S13A6GX00LF/1538196</t>
  </si>
  <si>
    <t>Dsub cable</t>
  </si>
  <si>
    <t>CABLE DB37M/F DBL SHLD 1'</t>
  </si>
  <si>
    <t>https://www.digikey.com/en/products/detail/l-com/CS2N37MF-1/21287760</t>
  </si>
  <si>
    <t>MFR Part Number</t>
  </si>
  <si>
    <t>Strain Gauge Glue (cheap option)</t>
  </si>
  <si>
    <t>This is the low-cost option, and we should not really use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</si>
</sst>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1" fillId="0" borderId="0" xfId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vertical="center"/>
    </xf>
    <xf numFmtId="7" fontId="6" fillId="2" borderId="0" xfId="0" applyNumberFormat="1" applyFont="1" applyFill="1" applyAlignment="1">
      <alignment vertical="center"/>
    </xf>
    <xf numFmtId="0" fontId="7" fillId="2" borderId="0" xfId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t-global-technology/TG-AH486-150-150-1-0-0/3042048" TargetMode="External"/><Relationship Id="rId18" Type="http://schemas.openxmlformats.org/officeDocument/2006/relationships/hyperlink" Target="https://www.grainger.com/product/SIEMENS-IEC-Supplementary-Protector-30XZ33" TargetMode="External"/><Relationship Id="rId26" Type="http://schemas.openxmlformats.org/officeDocument/2006/relationships/hyperlink" Target="https://www.digikey.com/en/products/detail/ni/785996-01/15219166" TargetMode="External"/><Relationship Id="rId39" Type="http://schemas.openxmlformats.org/officeDocument/2006/relationships/hyperlink" Target="https://www.fastenal.com/product/details/923785687" TargetMode="External"/><Relationship Id="rId21" Type="http://schemas.openxmlformats.org/officeDocument/2006/relationships/hyperlink" Target="https://www.grainger.com/product/Bead-Wire-Temperature-Probe-4JPL6" TargetMode="External"/><Relationship Id="rId34" Type="http://schemas.openxmlformats.org/officeDocument/2006/relationships/hyperlink" Target="https://www.grainger.com/product/Tee-Red-Brass-1VEZ1?opr=PDPRRDSP&amp;analytics=dsrrItems_1CPF5" TargetMode="External"/><Relationship Id="rId42" Type="http://schemas.openxmlformats.org/officeDocument/2006/relationships/hyperlink" Target="https://www.grainger.com/product/Automotive-Wire-TXL-862FZ5" TargetMode="External"/><Relationship Id="rId47" Type="http://schemas.openxmlformats.org/officeDocument/2006/relationships/hyperlink" Target="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" TargetMode="External"/><Relationship Id="rId50" Type="http://schemas.openxmlformats.org/officeDocument/2006/relationships/hyperlink" Target="https://www.newark.com/ni/783729-01/ni-9209-voltage-input-module-24bit/dp/13AJ4083" TargetMode="External"/><Relationship Id="rId7" Type="http://schemas.openxmlformats.org/officeDocument/2006/relationships/hyperlink" Target="https://powerwerx.com/anderson-sb50-panel-chassis-mount" TargetMode="External"/><Relationship Id="rId2" Type="http://schemas.openxmlformats.org/officeDocument/2006/relationships/hyperlink" Target="https://www.grainger.com/product/RITTAL-Enclosure-Steel-5AAC4?opr=ILOF" TargetMode="External"/><Relationship Id="rId16" Type="http://schemas.openxmlformats.org/officeDocument/2006/relationships/hyperlink" Target="https://www.digikey.com/en/products/detail/mean-well-usa-inc/NDR-120-24/7705220" TargetMode="External"/><Relationship Id="rId29" Type="http://schemas.openxmlformats.org/officeDocument/2006/relationships/hyperlink" Target="https://www.ni.com/en-us/shop/model/ni-9213.html" TargetMode="External"/><Relationship Id="rId11" Type="http://schemas.openxmlformats.org/officeDocument/2006/relationships/hyperlink" Target="https://www.grainger.com/product/LOCTITE-Instant-Adhesive-401-2VFG1?opr=ODOH&amp;analytics=FM:Order%20History" TargetMode="External"/><Relationship Id="rId24" Type="http://schemas.openxmlformats.org/officeDocument/2006/relationships/hyperlink" Target="https://www.aliexpress.us/item/3256805148780496.html?gatewayAdapt=glo2usa4itemAdapt" TargetMode="External"/><Relationship Id="rId32" Type="http://schemas.openxmlformats.org/officeDocument/2006/relationships/hyperlink" Target="https://www.digikey.com/en/products/detail/mg-chemicals/419D-55ML/9657990" TargetMode="External"/><Relationship Id="rId37" Type="http://schemas.openxmlformats.org/officeDocument/2006/relationships/hyperlink" Target="https://www.grainger.com/product/Compression-Fitting-Adapter-46M551" TargetMode="External"/><Relationship Id="rId40" Type="http://schemas.openxmlformats.org/officeDocument/2006/relationships/hyperlink" Target="https://www.grainger.com/product/TEMPCO-Thermocouple-Wire-Type-K-3AGF3" TargetMode="External"/><Relationship Id="rId45" Type="http://schemas.openxmlformats.org/officeDocument/2006/relationships/hyperlink" Target="https://shop.micro-measurements.com/my_cart_item_list.php?v_cat_code=STRESS_ANALYSIS_STRAIN_GAGE" TargetMode="External"/><Relationship Id="rId53" Type="http://schemas.openxmlformats.org/officeDocument/2006/relationships/hyperlink" Target="https://www.grainger.com/product/LOCTITE-Instant-Adhesive-401-2VFG1?opr=ODOH&amp;analytics=FM:Order%20History" TargetMode="External"/><Relationship Id="rId5" Type="http://schemas.openxmlformats.org/officeDocument/2006/relationships/hyperlink" Target="https://www.homedepot.com/p/Owens-Corning-FOAMULAR-NGX-F-250-2-in-x-4-ft-x-8-ft-SSE-R-10-XPS-Rigid-Foam-Board-Insulation-52DDNGX/315197962" TargetMode="External"/><Relationship Id="rId10" Type="http://schemas.openxmlformats.org/officeDocument/2006/relationships/hyperlink" Target="https://www.grainger.com/product/TEMPCO-Compression-Fitting-1-8-in-5ZY28?opr=ODOH&amp;analytics=FM:Order%20History" TargetMode="External"/><Relationship Id="rId19" Type="http://schemas.openxmlformats.org/officeDocument/2006/relationships/hyperlink" Target="https://www.digikey.com/en/products/detail/anderson-power-products-inc/5900-BK/10650563" TargetMode="External"/><Relationship Id="rId31" Type="http://schemas.openxmlformats.org/officeDocument/2006/relationships/hyperlink" Target="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" TargetMode="External"/><Relationship Id="rId44" Type="http://schemas.openxmlformats.org/officeDocument/2006/relationships/hyperlink" Target="https://www.digikey.com/en/products/detail/micro-measurements-division-of-vishay-precision-group/C4A-06-235SLA-350-33P/16580673" TargetMode="External"/><Relationship Id="rId52" Type="http://schemas.openxmlformats.org/officeDocument/2006/relationships/hyperlink" Target="https://www.digikey.com/en/products/detail/l-com/CS2N37MF-1/21287760" TargetMode="External"/><Relationship Id="rId4" Type="http://schemas.openxmlformats.org/officeDocument/2006/relationships/hyperlink" Target="https://www.ni.com/en-us/shop/model/ni-9236.html?srsltid=AfmBOorMY5vEvxvX3ChJ7onLrgeEJ12iARSG8zOQW9Ncc0Uy1GemXkRh" TargetMode="External"/><Relationship Id="rId9" Type="http://schemas.openxmlformats.org/officeDocument/2006/relationships/hyperlink" Target="https://www.digikey.com/en/products/detail/micro-measurements-division-of-vishay-precision-group/MMF404146/9857834" TargetMode="External"/><Relationship Id="rId14" Type="http://schemas.openxmlformats.org/officeDocument/2006/relationships/hyperlink" Target="https://www.grainger.com/product/Tubing-PVC-742T39?gucid=N:N:PS:Paid:GGL:CSM-2295:K2UWC0:20500801:APZ_1&amp;gclsrc=aw.ds&amp;gad_source=1&amp;gad_campaignid=21369463827&amp;gclid=Cj0KCQjwuKnGBhD5ARIsAD19RsZM3cz01djgGkrXBnkh3m7nPFZOvY62h02uQEeZVQfYnXJ_JFcZpUAaAuKSEALw_wcB" TargetMode="External"/><Relationship Id="rId22" Type="http://schemas.openxmlformats.org/officeDocument/2006/relationships/hyperlink" Target="https://www.digikey.com/en/products/detail/phoenix-contact/2761619/349453" TargetMode="External"/><Relationship Id="rId27" Type="http://schemas.openxmlformats.org/officeDocument/2006/relationships/hyperlink" Target="https://www.digikey.com/en/products/detail/ni/786425-01/16648375?s=N4IgTCBcDaIMYCUCSB5AtATgAwFYAsIAugL5A" TargetMode="External"/><Relationship Id="rId30" Type="http://schemas.openxmlformats.org/officeDocument/2006/relationships/hyperlink" Target="https://www.digikey.com/en/products/detail/ni/785185-01/15218920" TargetMode="External"/><Relationship Id="rId35" Type="http://schemas.openxmlformats.org/officeDocument/2006/relationships/hyperlink" Target="https://www.grainger.com/product/PARKER-Anchor-Coupling-Brass-13Y869?opr=ODOH&amp;analytics=FM:Order%20History" TargetMode="External"/><Relationship Id="rId43" Type="http://schemas.openxmlformats.org/officeDocument/2006/relationships/hyperlink" Target="https://www.digikey.com/en/products/detail/sparkfun-electronics/08023/6833929" TargetMode="External"/><Relationship Id="rId48" Type="http://schemas.openxmlformats.org/officeDocument/2006/relationships/hyperlink" Target="https://www.digikey.com/en/products/detail/ni/783729-01/15219085" TargetMode="External"/><Relationship Id="rId8" Type="http://schemas.openxmlformats.org/officeDocument/2006/relationships/hyperlink" Target="https://powerwerx.com/red-black-bonded-zip-cord" TargetMode="External"/><Relationship Id="rId51" Type="http://schemas.openxmlformats.org/officeDocument/2006/relationships/hyperlink" Target="https://www.digikey.com/en/products/detail/amphenol-cs-fci/D37S13A6GX00LF/1538196" TargetMode="External"/><Relationship Id="rId3" Type="http://schemas.openxmlformats.org/officeDocument/2006/relationships/hyperlink" Target="https://www.ni.com/en-us/shop/model/crio-9054.html?srsltid=AfmBOoq0A8xv-ChosheRHcCRAUHUJLYSkhBEQdFDCxzuASYQjEF_A3Oq" TargetMode="External"/><Relationship Id="rId12" Type="http://schemas.openxmlformats.org/officeDocument/2006/relationships/hyperlink" Target="https://www.digikey.com/en/products/detail/ohmite/CP4A-114A-108E/3439805" TargetMode="External"/><Relationship Id="rId17" Type="http://schemas.openxmlformats.org/officeDocument/2006/relationships/hyperlink" Target="https://www.grainger.com/product/Mounting-Track-DIN-Rail-Mounting-18Z759" TargetMode="External"/><Relationship Id="rId25" Type="http://schemas.openxmlformats.org/officeDocument/2006/relationships/hyperlink" Target="https://www.grainger.com/product/TEMPCO-Thermocouple-Probe-Thermocouple-3AAA2?opr=ODOH&amp;analytics=FM:Order%20History" TargetMode="External"/><Relationship Id="rId33" Type="http://schemas.openxmlformats.org/officeDocument/2006/relationships/hyperlink" Target="https://www.grainger.com/product/SPEEDAIRE-Barbed-Hose-Fitting-For-3-6AFN8" TargetMode="External"/><Relationship Id="rId38" Type="http://schemas.openxmlformats.org/officeDocument/2006/relationships/hyperlink" Target="https://nam02.safelinks.protection.outlook.com/?url=https%3A%2F%2Fwww.grainger.com%2Fproduct%2FMILWAUKEE-Hole-Saw-1-in-Saw-Dia-856EV8&amp;data=05%7C02%7CCKB11%40email.sc.edu%7C9a1df447a7c2434dc85d08de157fc0b4%7C4b2a4b19d135420e8bb2b1cd238998cc%7C0%7C0%7C638971835598967940%7CUnknown%7CTWFpbGZsb3d8eyJFbXB0eU1hcGkiOnRydWUsIlYiOiIwLjAuMDAwMCIsIlAiOiJXaW4zMiIsIkFOIjoiTWFpbCIsIldUIjoyfQ%3D%3D%7C0%7C%7C%7C&amp;sdata=EAjn5hwuV%2BewMqz9WyyZN%2Fqwh4VRByeEbQ3Le73uExc%3D&amp;reserved=0" TargetMode="External"/><Relationship Id="rId46" Type="http://schemas.openxmlformats.org/officeDocument/2006/relationships/hyperlink" Target="https://shop.micro-measurements.com/my_cart_item_list.php?v_cat_code=STRESS_ANALYSIS_STRAIN_GAGE" TargetMode="External"/><Relationship Id="rId20" Type="http://schemas.openxmlformats.org/officeDocument/2006/relationships/hyperlink" Target="https://www.grainger.com/product/5PZR3?gucid=N:N:PS:Paid:GGL:CSM-2295:DDJWUR:20500801:APZ_1&amp;gclsrc=aw.ds&amp;gad_source=1&amp;gad_campaignid=21379885351&amp;gclid=Cj0KCQjwuKnGBhD5ARIsAD19RsbdymUQqUtYnAXBF1774w4jJdCOiHtys_Y9P4gyvz2tfj_8QtqMd1gaAg0mEALw_wcB" TargetMode="External"/><Relationship Id="rId41" Type="http://schemas.openxmlformats.org/officeDocument/2006/relationships/hyperlink" Target="https://www.grainger.com/product/Hex-Bushing-Brass-6AYW6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batteryjunction.com/products/samsung-30q-18650-3000-flat" TargetMode="External"/><Relationship Id="rId6" Type="http://schemas.openxmlformats.org/officeDocument/2006/relationships/hyperlink" Target="https://www.ni.com/en-us/shop/model/ni-9221.html?srsltid=AfmBOoqgNdBlJLWKt_CAMn-EyKML-TbdpQJdRbGEM1RJt10IrXeVL-vD" TargetMode="External"/><Relationship Id="rId15" Type="http://schemas.openxmlformats.org/officeDocument/2006/relationships/hyperlink" Target="https://www.grainger.com/product/808CD1?gucid=N:N:PS:Paid:GGL:CSM-2295:7BE6NS:20500801:APZ_1&amp;gad_source=1&amp;gad_campaignid=21375776111&amp;gclid=Cj0KCQjwuKnGBhD5ARIsAD19RsbHQcyep7PPjisrd0mChi3fKdhODtjdrd7afpnvEkxBICpIYsa_CIMaAp4sEALw_wcB&amp;gclsrc=aw.ds" TargetMode="External"/><Relationship Id="rId23" Type="http://schemas.openxmlformats.org/officeDocument/2006/relationships/hyperlink" Target="https://www.digikey.com/en/products/detail/molex/0191930226/1952713" TargetMode="External"/><Relationship Id="rId28" Type="http://schemas.openxmlformats.org/officeDocument/2006/relationships/hyperlink" Target="https://www.digikey.com/en/products/detail/ni/779373-01/15219106" TargetMode="External"/><Relationship Id="rId36" Type="http://schemas.openxmlformats.org/officeDocument/2006/relationships/hyperlink" Target="https://www.grainger.com/product/Flat-Washer-18-8-22UG44" TargetMode="External"/><Relationship Id="rId49" Type="http://schemas.openxmlformats.org/officeDocument/2006/relationships/hyperlink" Target="https://www.ni.com/en/shop/hardware/voltage/model-ni-9209?srsltid=AfmBOor7Lxlk-Bc63Rm3pHBdRV0FkdxyXFu65pzzLkmQPxDcSqa-YH_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59"/>
  <sheetViews>
    <sheetView tabSelected="1" zoomScale="70" zoomScaleNormal="70" workbookViewId="0">
      <selection activeCell="I12" sqref="A12:I12"/>
    </sheetView>
  </sheetViews>
  <sheetFormatPr defaultColWidth="8.85546875" defaultRowHeight="15" x14ac:dyDescent="0.25"/>
  <cols>
    <col min="1" max="1" width="25.42578125" bestFit="1" customWidth="1"/>
    <col min="2" max="2" width="74" bestFit="1" customWidth="1"/>
    <col min="3" max="3" width="74" customWidth="1"/>
    <col min="4" max="4" width="7.140625" bestFit="1" customWidth="1"/>
    <col min="5" max="5" width="12.5703125" bestFit="1" customWidth="1"/>
    <col min="6" max="7" width="12.28515625" customWidth="1"/>
    <col min="8" max="8" width="69.42578125" customWidth="1"/>
    <col min="9" max="9" width="76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2" t="s">
        <v>1</v>
      </c>
      <c r="B1" s="2" t="s">
        <v>2</v>
      </c>
      <c r="C1" s="2" t="s">
        <v>174</v>
      </c>
      <c r="D1" s="2" t="s">
        <v>3</v>
      </c>
      <c r="E1" s="2" t="s">
        <v>4</v>
      </c>
      <c r="F1" s="2" t="s">
        <v>0</v>
      </c>
      <c r="G1" s="2" t="s">
        <v>127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ht="15" customHeight="1" x14ac:dyDescent="0.25">
      <c r="A2" t="s">
        <v>13</v>
      </c>
      <c r="B2" s="2" t="s">
        <v>14</v>
      </c>
      <c r="C2" s="2"/>
      <c r="D2" s="2">
        <v>10</v>
      </c>
      <c r="E2" s="6">
        <v>8.2200000000000006</v>
      </c>
      <c r="F2" s="6">
        <f>D2*E2</f>
        <v>82.2</v>
      </c>
      <c r="G2" s="6"/>
      <c r="H2" s="3" t="s">
        <v>15</v>
      </c>
      <c r="I2" s="4"/>
      <c r="J2" s="4"/>
    </row>
    <row r="3" spans="1:13" ht="15" customHeight="1" x14ac:dyDescent="0.25">
      <c r="A3" t="s">
        <v>97</v>
      </c>
      <c r="B3" s="2" t="s">
        <v>31</v>
      </c>
      <c r="C3" s="2"/>
      <c r="D3" s="2">
        <v>1</v>
      </c>
      <c r="E3" s="6">
        <v>9.99</v>
      </c>
      <c r="F3" s="6">
        <f t="shared" ref="F3:F52" si="0">D3*E3</f>
        <v>9.99</v>
      </c>
      <c r="G3" s="6"/>
      <c r="H3" s="3" t="s">
        <v>30</v>
      </c>
      <c r="I3" s="4"/>
    </row>
    <row r="4" spans="1:13" ht="15" customHeight="1" x14ac:dyDescent="0.25">
      <c r="A4" s="2" t="s">
        <v>11</v>
      </c>
      <c r="B4" s="2" t="s">
        <v>16</v>
      </c>
      <c r="C4" s="2"/>
      <c r="D4" s="2">
        <v>1</v>
      </c>
      <c r="E4" s="6">
        <v>234.98</v>
      </c>
      <c r="F4" s="6">
        <f t="shared" si="0"/>
        <v>234.98</v>
      </c>
      <c r="G4" s="6"/>
      <c r="H4" s="3" t="s">
        <v>17</v>
      </c>
      <c r="I4" s="5"/>
      <c r="J4" s="5"/>
    </row>
    <row r="5" spans="1:13" ht="15" customHeight="1" x14ac:dyDescent="0.25">
      <c r="A5" s="2" t="s">
        <v>12</v>
      </c>
      <c r="B5" s="2" t="s">
        <v>19</v>
      </c>
      <c r="C5" s="2"/>
      <c r="D5" s="2">
        <v>1</v>
      </c>
      <c r="E5" s="6">
        <v>3427</v>
      </c>
      <c r="F5" s="6">
        <f t="shared" si="0"/>
        <v>3427</v>
      </c>
      <c r="G5" s="6"/>
      <c r="H5" s="3" t="s">
        <v>18</v>
      </c>
      <c r="I5" s="3" t="s">
        <v>91</v>
      </c>
      <c r="J5" s="2"/>
    </row>
    <row r="6" spans="1:13" ht="15" customHeight="1" x14ac:dyDescent="0.25">
      <c r="A6" s="2" t="s">
        <v>20</v>
      </c>
      <c r="B6" s="2" t="s">
        <v>21</v>
      </c>
      <c r="C6" s="2"/>
      <c r="D6" s="2">
        <v>1</v>
      </c>
      <c r="E6" s="6">
        <v>3048</v>
      </c>
      <c r="F6" s="6">
        <f t="shared" si="0"/>
        <v>3048</v>
      </c>
      <c r="G6" s="6"/>
      <c r="H6" s="3" t="s">
        <v>22</v>
      </c>
      <c r="I6" s="3" t="s">
        <v>90</v>
      </c>
      <c r="J6" s="3"/>
    </row>
    <row r="7" spans="1:13" ht="15" customHeight="1" x14ac:dyDescent="0.25">
      <c r="A7" s="13" t="s">
        <v>29</v>
      </c>
      <c r="B7" s="13" t="s">
        <v>23</v>
      </c>
      <c r="C7" s="13"/>
      <c r="D7" s="13">
        <v>2</v>
      </c>
      <c r="E7" s="14">
        <v>1106</v>
      </c>
      <c r="F7" s="14">
        <f t="shared" si="0"/>
        <v>2212</v>
      </c>
      <c r="G7" s="14"/>
      <c r="H7" s="15" t="s">
        <v>28</v>
      </c>
      <c r="I7" s="15" t="s">
        <v>92</v>
      </c>
      <c r="J7" s="2"/>
    </row>
    <row r="8" spans="1:13" ht="15" customHeight="1" x14ac:dyDescent="0.25">
      <c r="A8" s="2" t="s">
        <v>26</v>
      </c>
      <c r="B8" s="2" t="s">
        <v>25</v>
      </c>
      <c r="C8" s="2"/>
      <c r="D8" s="2">
        <v>1</v>
      </c>
      <c r="E8" s="6">
        <v>56.97</v>
      </c>
      <c r="F8" s="6">
        <f t="shared" si="0"/>
        <v>56.97</v>
      </c>
      <c r="G8" s="6"/>
      <c r="H8" s="3" t="s">
        <v>27</v>
      </c>
    </row>
    <row r="9" spans="1:13" ht="15" customHeight="1" x14ac:dyDescent="0.25">
      <c r="A9" s="2" t="s">
        <v>150</v>
      </c>
      <c r="B9" s="11" t="s">
        <v>151</v>
      </c>
      <c r="C9" s="11"/>
      <c r="D9" s="2">
        <v>1</v>
      </c>
      <c r="E9" s="6">
        <v>10.72</v>
      </c>
      <c r="F9" s="6">
        <f t="shared" si="0"/>
        <v>10.72</v>
      </c>
      <c r="G9" s="6"/>
      <c r="H9" s="3" t="s">
        <v>152</v>
      </c>
    </row>
    <row r="10" spans="1:13" ht="15" customHeight="1" x14ac:dyDescent="0.25">
      <c r="A10" s="2" t="s">
        <v>149</v>
      </c>
      <c r="B10" s="12" t="s">
        <v>153</v>
      </c>
      <c r="C10" s="12"/>
      <c r="D10" s="2"/>
      <c r="E10" s="6">
        <v>10.72</v>
      </c>
      <c r="F10" s="6">
        <v>10.72</v>
      </c>
      <c r="G10" s="6"/>
      <c r="H10" s="3" t="s">
        <v>154</v>
      </c>
    </row>
    <row r="11" spans="1:13" ht="15" customHeight="1" x14ac:dyDescent="0.25">
      <c r="A11" s="2" t="s">
        <v>66</v>
      </c>
      <c r="B11" s="2" t="s">
        <v>67</v>
      </c>
      <c r="C11" s="2"/>
      <c r="D11" s="2">
        <v>1</v>
      </c>
      <c r="E11" s="6">
        <v>90.99</v>
      </c>
      <c r="F11" s="6">
        <f t="shared" si="0"/>
        <v>90.99</v>
      </c>
      <c r="G11" s="6"/>
      <c r="H11" s="3" t="s">
        <v>32</v>
      </c>
      <c r="I11" s="5"/>
      <c r="J11" s="5"/>
    </row>
    <row r="12" spans="1:13" ht="15" customHeight="1" x14ac:dyDescent="0.25">
      <c r="A12" s="2" t="s">
        <v>157</v>
      </c>
      <c r="B12" s="2" t="s">
        <v>159</v>
      </c>
      <c r="C12" s="2"/>
      <c r="D12" s="2">
        <v>1</v>
      </c>
      <c r="E12" s="6">
        <v>162.72</v>
      </c>
      <c r="F12" s="6">
        <f t="shared" si="0"/>
        <v>162.72</v>
      </c>
      <c r="G12" s="6"/>
      <c r="H12" s="3" t="s">
        <v>162</v>
      </c>
      <c r="I12" s="3" t="s">
        <v>33</v>
      </c>
    </row>
    <row r="13" spans="1:13" ht="15" customHeight="1" x14ac:dyDescent="0.25">
      <c r="A13" s="2" t="s">
        <v>158</v>
      </c>
      <c r="B13" s="5" t="s">
        <v>160</v>
      </c>
      <c r="C13" s="5"/>
      <c r="D13" s="2">
        <v>1</v>
      </c>
      <c r="E13" s="6">
        <v>162.72</v>
      </c>
      <c r="F13" s="6">
        <f t="shared" ref="F13" si="1">D13*E13</f>
        <v>162.72</v>
      </c>
      <c r="G13" s="6"/>
      <c r="H13" s="3" t="s">
        <v>162</v>
      </c>
      <c r="I13" s="3" t="s">
        <v>161</v>
      </c>
    </row>
    <row r="14" spans="1:13" ht="15" customHeight="1" x14ac:dyDescent="0.25">
      <c r="A14" s="2" t="s">
        <v>34</v>
      </c>
      <c r="B14" s="2" t="s">
        <v>36</v>
      </c>
      <c r="C14" s="2"/>
      <c r="D14" s="2">
        <v>2</v>
      </c>
      <c r="E14" s="6">
        <v>23.08</v>
      </c>
      <c r="F14" s="6">
        <f t="shared" si="0"/>
        <v>46.16</v>
      </c>
      <c r="G14" s="6"/>
      <c r="H14" s="3" t="s">
        <v>38</v>
      </c>
      <c r="I14" s="5"/>
    </row>
    <row r="15" spans="1:13" ht="15" customHeight="1" x14ac:dyDescent="0.25">
      <c r="A15" s="2" t="s">
        <v>35</v>
      </c>
      <c r="B15" s="5" t="s">
        <v>37</v>
      </c>
      <c r="C15" s="5"/>
      <c r="D15" s="2">
        <v>2</v>
      </c>
      <c r="E15" s="6">
        <v>7.26</v>
      </c>
      <c r="F15" s="6">
        <f t="shared" si="0"/>
        <v>14.52</v>
      </c>
      <c r="G15" s="6"/>
      <c r="H15" s="3" t="s">
        <v>39</v>
      </c>
      <c r="I15" s="5"/>
    </row>
    <row r="16" spans="1:13" ht="15" customHeight="1" x14ac:dyDescent="0.25">
      <c r="A16" s="2" t="s">
        <v>175</v>
      </c>
      <c r="B16" s="2" t="s">
        <v>42</v>
      </c>
      <c r="C16" s="2"/>
      <c r="D16" s="2">
        <v>1</v>
      </c>
      <c r="E16" s="6">
        <v>8.98</v>
      </c>
      <c r="F16" s="6">
        <f t="shared" si="0"/>
        <v>8.98</v>
      </c>
      <c r="G16" s="6" t="s">
        <v>176</v>
      </c>
      <c r="H16" s="3" t="s">
        <v>40</v>
      </c>
    </row>
    <row r="17" spans="1:13" ht="15" customHeight="1" x14ac:dyDescent="0.25">
      <c r="A17" s="2" t="s">
        <v>41</v>
      </c>
      <c r="B17" s="2" t="s">
        <v>42</v>
      </c>
      <c r="C17" s="2"/>
      <c r="D17" s="2">
        <v>1</v>
      </c>
      <c r="E17" s="6">
        <v>8.98</v>
      </c>
      <c r="F17" s="6">
        <f t="shared" ref="F17" si="2">D17*E17</f>
        <v>8.98</v>
      </c>
      <c r="G17" s="6"/>
      <c r="H17" s="3" t="s">
        <v>40</v>
      </c>
    </row>
    <row r="18" spans="1:13" ht="15" customHeight="1" x14ac:dyDescent="0.25">
      <c r="A18" s="2" t="s">
        <v>43</v>
      </c>
      <c r="B18" s="2" t="s">
        <v>44</v>
      </c>
      <c r="C18" s="2"/>
      <c r="D18" s="2">
        <v>2</v>
      </c>
      <c r="E18" s="6">
        <v>74.89</v>
      </c>
      <c r="F18" s="6">
        <f t="shared" si="0"/>
        <v>149.78</v>
      </c>
      <c r="G18" s="6"/>
      <c r="H18" s="3" t="s">
        <v>45</v>
      </c>
      <c r="I18" s="3"/>
      <c r="J18" s="3"/>
      <c r="K18" s="3"/>
      <c r="L18" s="5"/>
      <c r="M18" s="5"/>
    </row>
    <row r="19" spans="1:13" ht="15" customHeight="1" x14ac:dyDescent="0.25">
      <c r="A19" s="2" t="s">
        <v>47</v>
      </c>
      <c r="B19" s="2" t="s">
        <v>46</v>
      </c>
      <c r="C19" s="2"/>
      <c r="D19" s="2">
        <v>2</v>
      </c>
      <c r="E19" s="6">
        <v>10.17</v>
      </c>
      <c r="F19" s="6">
        <f>D19*E19</f>
        <v>20.34</v>
      </c>
      <c r="G19" s="6"/>
      <c r="H19" s="3" t="s">
        <v>48</v>
      </c>
      <c r="I19" s="5"/>
    </row>
    <row r="20" spans="1:13" ht="15" customHeight="1" x14ac:dyDescent="0.25">
      <c r="A20" s="2" t="s">
        <v>50</v>
      </c>
      <c r="B20" s="2" t="s">
        <v>49</v>
      </c>
      <c r="C20" s="2"/>
      <c r="D20" s="2">
        <v>8</v>
      </c>
      <c r="E20" s="6">
        <v>1.77</v>
      </c>
      <c r="F20" s="6">
        <f t="shared" si="0"/>
        <v>14.16</v>
      </c>
      <c r="G20" s="6"/>
      <c r="H20" s="3" t="s">
        <v>110</v>
      </c>
      <c r="I20" s="5"/>
    </row>
    <row r="21" spans="1:13" ht="15" customHeight="1" x14ac:dyDescent="0.25">
      <c r="A21" s="2" t="s">
        <v>118</v>
      </c>
      <c r="B21" s="2" t="s">
        <v>117</v>
      </c>
      <c r="C21" s="2"/>
      <c r="D21" s="2">
        <v>2</v>
      </c>
      <c r="E21" s="6">
        <v>23.66</v>
      </c>
      <c r="F21" s="6">
        <f t="shared" si="0"/>
        <v>47.32</v>
      </c>
      <c r="G21" s="6"/>
      <c r="H21" s="3" t="s">
        <v>119</v>
      </c>
      <c r="I21" s="5"/>
    </row>
    <row r="22" spans="1:13" ht="15" customHeight="1" x14ac:dyDescent="0.25">
      <c r="A22" s="2" t="s">
        <v>106</v>
      </c>
      <c r="B22" s="2" t="s">
        <v>51</v>
      </c>
      <c r="C22" s="2"/>
      <c r="D22" s="2">
        <v>1</v>
      </c>
      <c r="E22" s="6">
        <v>15.02</v>
      </c>
      <c r="F22" s="6">
        <f t="shared" si="0"/>
        <v>15.02</v>
      </c>
      <c r="G22" s="6"/>
      <c r="H22" s="3" t="s">
        <v>52</v>
      </c>
      <c r="I22" s="3"/>
    </row>
    <row r="23" spans="1:13" ht="15" customHeight="1" x14ac:dyDescent="0.25">
      <c r="A23" s="2" t="s">
        <v>53</v>
      </c>
      <c r="B23" s="2" t="s">
        <v>109</v>
      </c>
      <c r="C23" s="2"/>
      <c r="D23" s="2">
        <v>1</v>
      </c>
      <c r="E23" s="6">
        <v>12.46</v>
      </c>
      <c r="F23" s="6">
        <f t="shared" si="0"/>
        <v>12.46</v>
      </c>
      <c r="G23" s="6"/>
      <c r="H23" s="3" t="s">
        <v>108</v>
      </c>
      <c r="I23" s="5"/>
    </row>
    <row r="24" spans="1:13" ht="15" customHeight="1" x14ac:dyDescent="0.25">
      <c r="A24" s="2" t="s">
        <v>107</v>
      </c>
      <c r="B24" s="2" t="s">
        <v>54</v>
      </c>
      <c r="C24" s="2"/>
      <c r="D24" s="2">
        <v>1</v>
      </c>
      <c r="E24" s="6">
        <v>15.13</v>
      </c>
      <c r="F24" s="6">
        <f t="shared" si="0"/>
        <v>15.13</v>
      </c>
      <c r="G24" s="6"/>
      <c r="H24" s="3" t="s">
        <v>55</v>
      </c>
      <c r="I24" s="5"/>
    </row>
    <row r="25" spans="1:13" ht="15" customHeight="1" x14ac:dyDescent="0.25">
      <c r="A25" s="2" t="s">
        <v>56</v>
      </c>
      <c r="B25" s="2" t="s">
        <v>57</v>
      </c>
      <c r="C25" s="2"/>
      <c r="D25" s="2">
        <v>1</v>
      </c>
      <c r="E25" s="6">
        <v>29.3</v>
      </c>
      <c r="F25" s="6">
        <f t="shared" si="0"/>
        <v>29.3</v>
      </c>
      <c r="G25" s="6"/>
      <c r="H25" s="3" t="s">
        <v>58</v>
      </c>
      <c r="I25" s="5"/>
    </row>
    <row r="26" spans="1:13" ht="15" customHeight="1" x14ac:dyDescent="0.25">
      <c r="A26" s="2" t="s">
        <v>59</v>
      </c>
      <c r="B26" s="2" t="s">
        <v>60</v>
      </c>
      <c r="C26" s="2"/>
      <c r="D26" s="2">
        <v>1</v>
      </c>
      <c r="E26" s="6">
        <v>4.09</v>
      </c>
      <c r="F26" s="6">
        <f t="shared" si="0"/>
        <v>4.09</v>
      </c>
      <c r="G26" s="6"/>
      <c r="H26" s="3" t="s">
        <v>61</v>
      </c>
      <c r="I26" s="5"/>
    </row>
    <row r="27" spans="1:13" ht="15" customHeight="1" x14ac:dyDescent="0.25">
      <c r="A27" s="2" t="s">
        <v>62</v>
      </c>
      <c r="B27" s="2" t="s">
        <v>64</v>
      </c>
      <c r="C27" s="2"/>
      <c r="D27" s="2">
        <v>1</v>
      </c>
      <c r="E27" s="6">
        <v>147.52000000000001</v>
      </c>
      <c r="F27" s="6">
        <f t="shared" si="0"/>
        <v>147.52000000000001</v>
      </c>
      <c r="G27" s="6"/>
      <c r="H27" s="3" t="s">
        <v>63</v>
      </c>
      <c r="I27" s="5"/>
    </row>
    <row r="28" spans="1:13" ht="15" customHeight="1" x14ac:dyDescent="0.25">
      <c r="A28" s="2" t="s">
        <v>65</v>
      </c>
      <c r="B28" s="2" t="s">
        <v>69</v>
      </c>
      <c r="C28" s="2"/>
      <c r="D28" s="2">
        <v>4</v>
      </c>
      <c r="E28" s="6">
        <v>1.45</v>
      </c>
      <c r="F28" s="6">
        <f t="shared" si="0"/>
        <v>5.8</v>
      </c>
      <c r="G28" s="6"/>
      <c r="H28" s="3" t="s">
        <v>68</v>
      </c>
      <c r="I28" s="5"/>
    </row>
    <row r="29" spans="1:13" ht="15" customHeight="1" x14ac:dyDescent="0.25">
      <c r="A29" s="2" t="s">
        <v>105</v>
      </c>
      <c r="B29" s="2" t="s">
        <v>71</v>
      </c>
      <c r="C29" s="2"/>
      <c r="D29" s="2">
        <v>1</v>
      </c>
      <c r="E29" s="6">
        <v>1.46</v>
      </c>
      <c r="F29" s="6">
        <f t="shared" si="0"/>
        <v>1.46</v>
      </c>
      <c r="G29" s="6"/>
      <c r="H29" s="3" t="s">
        <v>70</v>
      </c>
      <c r="I29" s="5"/>
    </row>
    <row r="30" spans="1:13" ht="15" customHeight="1" x14ac:dyDescent="0.25">
      <c r="A30" s="2" t="s">
        <v>73</v>
      </c>
      <c r="B30" s="2" t="s">
        <v>72</v>
      </c>
      <c r="C30" s="2"/>
      <c r="D30" s="2">
        <v>1</v>
      </c>
      <c r="E30" s="6">
        <v>2195</v>
      </c>
      <c r="F30" s="6">
        <f t="shared" si="0"/>
        <v>2195</v>
      </c>
      <c r="G30" s="6"/>
      <c r="H30" s="3" t="s">
        <v>74</v>
      </c>
      <c r="I30" s="3" t="s">
        <v>93</v>
      </c>
    </row>
    <row r="31" spans="1:13" ht="15" customHeight="1" x14ac:dyDescent="0.25">
      <c r="A31" s="2" t="s">
        <v>75</v>
      </c>
      <c r="B31" s="2" t="s">
        <v>76</v>
      </c>
      <c r="C31" s="2"/>
      <c r="D31" s="2">
        <v>1</v>
      </c>
      <c r="E31" s="6">
        <v>99.89</v>
      </c>
      <c r="F31" s="6">
        <f t="shared" si="0"/>
        <v>99.89</v>
      </c>
      <c r="G31" s="6"/>
      <c r="H31" s="3" t="s">
        <v>98</v>
      </c>
      <c r="I31" s="5"/>
    </row>
    <row r="32" spans="1:13" ht="15" customHeight="1" x14ac:dyDescent="0.25">
      <c r="A32" s="2" t="s">
        <v>77</v>
      </c>
      <c r="B32" s="2" t="s">
        <v>78</v>
      </c>
      <c r="C32" s="2"/>
      <c r="D32" s="2">
        <v>10</v>
      </c>
      <c r="E32" s="6">
        <v>6.92</v>
      </c>
      <c r="F32" s="6">
        <f t="shared" si="0"/>
        <v>69.2</v>
      </c>
      <c r="G32" s="6"/>
      <c r="H32" s="3" t="s">
        <v>79</v>
      </c>
      <c r="I32" s="5"/>
    </row>
    <row r="33" spans="1:10" ht="15" customHeight="1" x14ac:dyDescent="0.25">
      <c r="A33" s="2" t="s">
        <v>82</v>
      </c>
      <c r="B33" s="2" t="s">
        <v>81</v>
      </c>
      <c r="C33" s="2"/>
      <c r="D33" s="2">
        <v>2</v>
      </c>
      <c r="E33" s="7">
        <v>72.75</v>
      </c>
      <c r="F33" s="6">
        <f t="shared" si="0"/>
        <v>145.5</v>
      </c>
      <c r="G33" s="6"/>
      <c r="H33" s="3" t="s">
        <v>80</v>
      </c>
      <c r="I33" s="5"/>
    </row>
    <row r="34" spans="1:10" ht="15" customHeight="1" x14ac:dyDescent="0.25">
      <c r="A34" s="2" t="s">
        <v>83</v>
      </c>
      <c r="B34" s="5" t="s">
        <v>156</v>
      </c>
      <c r="C34" s="5"/>
      <c r="D34" s="2">
        <v>5</v>
      </c>
      <c r="E34" s="6">
        <v>3.44</v>
      </c>
      <c r="F34" s="6">
        <f t="shared" si="0"/>
        <v>17.2</v>
      </c>
      <c r="G34" s="6"/>
      <c r="H34" s="3" t="s">
        <v>155</v>
      </c>
      <c r="I34" s="3"/>
    </row>
    <row r="35" spans="1:10" ht="15" customHeight="1" x14ac:dyDescent="0.25">
      <c r="A35" s="2" t="s">
        <v>86</v>
      </c>
      <c r="B35" s="2" t="s">
        <v>85</v>
      </c>
      <c r="C35" s="2"/>
      <c r="D35" s="2">
        <v>2</v>
      </c>
      <c r="E35" s="6">
        <v>1.1499999999999999</v>
      </c>
      <c r="F35" s="6">
        <f t="shared" si="0"/>
        <v>2.2999999999999998</v>
      </c>
      <c r="G35" s="6"/>
      <c r="H35" s="3" t="s">
        <v>84</v>
      </c>
      <c r="I35" s="5"/>
    </row>
    <row r="36" spans="1:10" ht="15" customHeight="1" x14ac:dyDescent="0.25">
      <c r="A36" s="2" t="s">
        <v>87</v>
      </c>
      <c r="B36" s="2" t="s">
        <v>88</v>
      </c>
      <c r="C36" s="2"/>
      <c r="D36" s="2">
        <v>1</v>
      </c>
      <c r="E36" s="6">
        <v>14.65</v>
      </c>
      <c r="F36" s="6">
        <f t="shared" si="0"/>
        <v>14.65</v>
      </c>
      <c r="G36" s="6"/>
      <c r="H36" s="3" t="s">
        <v>89</v>
      </c>
      <c r="I36" s="3"/>
      <c r="J36" s="5"/>
    </row>
    <row r="37" spans="1:10" ht="15" customHeight="1" x14ac:dyDescent="0.25">
      <c r="A37" s="2" t="s">
        <v>112</v>
      </c>
      <c r="B37" s="2" t="s">
        <v>113</v>
      </c>
      <c r="C37" s="2"/>
      <c r="D37" s="2">
        <v>2</v>
      </c>
      <c r="E37" s="2">
        <v>9.85</v>
      </c>
      <c r="F37" s="6">
        <f t="shared" si="0"/>
        <v>19.7</v>
      </c>
      <c r="G37" s="2"/>
      <c r="H37" s="8" t="s">
        <v>114</v>
      </c>
    </row>
    <row r="38" spans="1:10" ht="15" customHeight="1" x14ac:dyDescent="0.25">
      <c r="A38" s="2" t="s">
        <v>94</v>
      </c>
      <c r="B38" s="2" t="s">
        <v>96</v>
      </c>
      <c r="C38" s="2"/>
      <c r="D38" s="2">
        <v>1</v>
      </c>
      <c r="E38" s="6">
        <v>19.989999999999998</v>
      </c>
      <c r="F38" s="6">
        <f t="shared" si="0"/>
        <v>19.989999999999998</v>
      </c>
      <c r="G38" s="6"/>
      <c r="H38" s="3" t="s">
        <v>95</v>
      </c>
      <c r="I38" s="5"/>
    </row>
    <row r="39" spans="1:10" ht="15" customHeight="1" x14ac:dyDescent="0.25">
      <c r="A39" s="2" t="s">
        <v>101</v>
      </c>
      <c r="B39" s="5" t="s">
        <v>100</v>
      </c>
      <c r="C39" s="5"/>
      <c r="D39" s="2">
        <v>1</v>
      </c>
      <c r="E39" s="6">
        <v>1.87</v>
      </c>
      <c r="F39" s="6">
        <f t="shared" si="0"/>
        <v>1.87</v>
      </c>
      <c r="G39" s="6"/>
      <c r="H39" s="3" t="s">
        <v>99</v>
      </c>
      <c r="I39" s="5"/>
    </row>
    <row r="40" spans="1:10" ht="15" customHeight="1" x14ac:dyDescent="0.25">
      <c r="A40" s="2" t="s">
        <v>103</v>
      </c>
      <c r="B40" s="2" t="s">
        <v>102</v>
      </c>
      <c r="C40" s="2"/>
      <c r="D40" s="2">
        <v>1</v>
      </c>
      <c r="E40" s="6">
        <v>22.56</v>
      </c>
      <c r="F40" s="6">
        <f t="shared" si="0"/>
        <v>22.56</v>
      </c>
      <c r="G40" s="6"/>
      <c r="H40" s="3" t="s">
        <v>104</v>
      </c>
      <c r="I40" s="5"/>
    </row>
    <row r="41" spans="1:10" ht="15" customHeight="1" x14ac:dyDescent="0.25">
      <c r="A41" s="2" t="s">
        <v>111</v>
      </c>
      <c r="B41" s="2" t="s">
        <v>115</v>
      </c>
      <c r="C41" s="2"/>
      <c r="D41" s="2">
        <v>2</v>
      </c>
      <c r="E41" s="2">
        <v>2.1</v>
      </c>
      <c r="F41" s="6">
        <f t="shared" si="0"/>
        <v>4.2</v>
      </c>
      <c r="G41" s="6"/>
      <c r="H41" s="3" t="s">
        <v>116</v>
      </c>
    </row>
    <row r="42" spans="1:10" x14ac:dyDescent="0.25">
      <c r="A42" s="2" t="s">
        <v>120</v>
      </c>
      <c r="B42" s="2" t="s">
        <v>122</v>
      </c>
      <c r="C42" s="2"/>
      <c r="D42" s="2">
        <v>4</v>
      </c>
      <c r="E42" s="6">
        <v>3.75</v>
      </c>
      <c r="F42" s="6">
        <f t="shared" si="0"/>
        <v>15</v>
      </c>
      <c r="G42" s="6"/>
      <c r="H42" s="1" t="s">
        <v>121</v>
      </c>
    </row>
    <row r="43" spans="1:10" x14ac:dyDescent="0.25">
      <c r="A43" s="2" t="s">
        <v>123</v>
      </c>
      <c r="B43" s="2" t="s">
        <v>124</v>
      </c>
      <c r="C43" s="2"/>
      <c r="D43" s="2">
        <v>1</v>
      </c>
      <c r="E43" s="2">
        <v>299.54000000000002</v>
      </c>
      <c r="F43" s="6">
        <f t="shared" si="0"/>
        <v>299.54000000000002</v>
      </c>
      <c r="G43" s="2"/>
      <c r="H43" s="8" t="s">
        <v>125</v>
      </c>
    </row>
    <row r="44" spans="1:10" x14ac:dyDescent="0.25">
      <c r="A44" s="2" t="s">
        <v>128</v>
      </c>
      <c r="B44" s="2" t="s">
        <v>129</v>
      </c>
      <c r="C44" s="2"/>
      <c r="D44" s="2">
        <v>2</v>
      </c>
      <c r="E44" s="2">
        <v>6.74</v>
      </c>
      <c r="F44" s="6">
        <f t="shared" si="0"/>
        <v>13.48</v>
      </c>
      <c r="G44" s="2" t="s">
        <v>130</v>
      </c>
      <c r="H44" s="1" t="s">
        <v>126</v>
      </c>
    </row>
    <row r="45" spans="1:10" x14ac:dyDescent="0.25">
      <c r="A45" s="2" t="s">
        <v>132</v>
      </c>
      <c r="B45" s="2" t="s">
        <v>133</v>
      </c>
      <c r="C45" s="2"/>
      <c r="D45" s="2">
        <v>1</v>
      </c>
      <c r="E45" s="2">
        <v>15.89</v>
      </c>
      <c r="F45" s="6">
        <f t="shared" si="0"/>
        <v>15.89</v>
      </c>
      <c r="H45" s="1" t="s">
        <v>131</v>
      </c>
    </row>
    <row r="46" spans="1:10" x14ac:dyDescent="0.25">
      <c r="A46" s="2" t="s">
        <v>134</v>
      </c>
      <c r="B46" s="2" t="s">
        <v>136</v>
      </c>
      <c r="C46" s="2"/>
      <c r="D46" s="2">
        <v>4</v>
      </c>
      <c r="E46" s="7">
        <v>2.0699999999999998</v>
      </c>
      <c r="F46" s="6">
        <f t="shared" si="0"/>
        <v>8.2799999999999994</v>
      </c>
      <c r="G46" s="6" t="s">
        <v>137</v>
      </c>
      <c r="H46" s="1" t="s">
        <v>135</v>
      </c>
      <c r="I46" s="1" t="s">
        <v>138</v>
      </c>
    </row>
    <row r="47" spans="1:10" x14ac:dyDescent="0.25">
      <c r="A47" s="2" t="s">
        <v>139</v>
      </c>
      <c r="B47" s="2" t="s">
        <v>141</v>
      </c>
      <c r="C47" s="2"/>
      <c r="D47" s="2">
        <v>1</v>
      </c>
      <c r="E47" s="7">
        <v>4.3600000000000003</v>
      </c>
      <c r="F47" s="6">
        <f t="shared" si="0"/>
        <v>4.3600000000000003</v>
      </c>
      <c r="G47" s="6" t="s">
        <v>142</v>
      </c>
      <c r="H47" s="1" t="s">
        <v>140</v>
      </c>
      <c r="I47" s="1"/>
    </row>
    <row r="48" spans="1:10" ht="30" x14ac:dyDescent="0.25">
      <c r="A48" s="2" t="s">
        <v>143</v>
      </c>
      <c r="B48" s="10" t="s">
        <v>148</v>
      </c>
      <c r="C48" s="10"/>
      <c r="D48" s="2">
        <v>1</v>
      </c>
      <c r="E48" s="7">
        <v>2.73</v>
      </c>
      <c r="F48" s="6">
        <f t="shared" si="0"/>
        <v>2.73</v>
      </c>
      <c r="G48" s="6" t="s">
        <v>142</v>
      </c>
      <c r="H48" s="1" t="s">
        <v>146</v>
      </c>
      <c r="I48" s="1"/>
    </row>
    <row r="49" spans="1:10" ht="30" x14ac:dyDescent="0.25">
      <c r="A49" s="2" t="s">
        <v>144</v>
      </c>
      <c r="B49" s="9" t="s">
        <v>147</v>
      </c>
      <c r="C49" s="9"/>
      <c r="D49" s="2">
        <v>1</v>
      </c>
      <c r="E49" s="7">
        <v>1.2</v>
      </c>
      <c r="F49" s="6">
        <f t="shared" si="0"/>
        <v>1.2</v>
      </c>
      <c r="G49" s="6" t="s">
        <v>142</v>
      </c>
      <c r="H49" s="1" t="s">
        <v>145</v>
      </c>
      <c r="I49" s="1"/>
    </row>
    <row r="50" spans="1:10" x14ac:dyDescent="0.25">
      <c r="A50" s="2" t="s">
        <v>164</v>
      </c>
      <c r="B50" s="2" t="s">
        <v>163</v>
      </c>
      <c r="C50" s="2"/>
      <c r="D50" s="2">
        <v>1</v>
      </c>
      <c r="E50" s="7">
        <v>1414.12</v>
      </c>
      <c r="F50" s="6">
        <f t="shared" si="0"/>
        <v>1414.12</v>
      </c>
      <c r="G50" s="6"/>
      <c r="H50" s="1" t="s">
        <v>166</v>
      </c>
      <c r="I50" s="1" t="s">
        <v>165</v>
      </c>
      <c r="J50" s="1" t="s">
        <v>167</v>
      </c>
    </row>
    <row r="51" spans="1:10" x14ac:dyDescent="0.25">
      <c r="A51" s="2" t="s">
        <v>168</v>
      </c>
      <c r="B51" s="5" t="s">
        <v>169</v>
      </c>
      <c r="C51" s="5"/>
      <c r="D51" s="2">
        <v>1</v>
      </c>
      <c r="E51" s="7">
        <v>7.37</v>
      </c>
      <c r="F51" s="6">
        <f t="shared" si="0"/>
        <v>7.37</v>
      </c>
      <c r="G51" s="6"/>
      <c r="H51" s="1" t="s">
        <v>170</v>
      </c>
      <c r="I51" s="1"/>
      <c r="J51" s="1"/>
    </row>
    <row r="52" spans="1:10" x14ac:dyDescent="0.25">
      <c r="A52" s="2" t="s">
        <v>171</v>
      </c>
      <c r="B52" s="5" t="s">
        <v>172</v>
      </c>
      <c r="C52" s="5"/>
      <c r="D52" s="2">
        <v>1</v>
      </c>
      <c r="E52" s="7">
        <v>108.06</v>
      </c>
      <c r="F52" s="6">
        <f t="shared" si="0"/>
        <v>108.06</v>
      </c>
      <c r="G52" s="6"/>
      <c r="H52" s="1" t="s">
        <v>173</v>
      </c>
      <c r="I52" s="1"/>
      <c r="J52" s="1"/>
    </row>
    <row r="53" spans="1:10" x14ac:dyDescent="0.25">
      <c r="A53" s="2"/>
      <c r="B53" s="2"/>
      <c r="C53" s="2"/>
      <c r="D53" s="2"/>
      <c r="E53" s="7"/>
      <c r="F53" s="6"/>
      <c r="G53" s="6"/>
      <c r="H53" s="1"/>
      <c r="I53" s="1"/>
      <c r="J53" s="1"/>
    </row>
    <row r="54" spans="1:10" x14ac:dyDescent="0.25">
      <c r="A54" s="2"/>
      <c r="B54" s="2"/>
      <c r="C54" s="2"/>
      <c r="D54" s="2"/>
      <c r="E54" s="7"/>
      <c r="F54" s="6"/>
      <c r="G54" s="6"/>
      <c r="H54" s="1"/>
      <c r="I54" s="1"/>
      <c r="J54" s="1"/>
    </row>
    <row r="55" spans="1:10" x14ac:dyDescent="0.25">
      <c r="A55" s="2"/>
      <c r="B55" s="2"/>
      <c r="C55" s="2"/>
      <c r="D55" s="2"/>
      <c r="E55" s="7"/>
      <c r="F55" s="6"/>
      <c r="G55" s="6"/>
      <c r="H55" s="1"/>
      <c r="I55" s="1"/>
      <c r="J55" s="1"/>
    </row>
    <row r="56" spans="1:10" x14ac:dyDescent="0.25">
      <c r="A56" s="2"/>
      <c r="B56" s="2"/>
      <c r="C56" s="2"/>
      <c r="D56" s="2"/>
      <c r="E56" s="7"/>
      <c r="F56" s="6"/>
      <c r="G56" s="6"/>
      <c r="H56" s="1"/>
      <c r="I56" s="1"/>
      <c r="J56" s="1"/>
    </row>
    <row r="57" spans="1:10" x14ac:dyDescent="0.25">
      <c r="A57" s="2"/>
      <c r="B57" s="2"/>
      <c r="C57" s="2"/>
      <c r="D57" s="2"/>
      <c r="E57" s="7"/>
      <c r="F57" s="6"/>
      <c r="G57" s="6"/>
      <c r="H57" s="1"/>
      <c r="I57" s="1"/>
      <c r="J57" s="1"/>
    </row>
    <row r="58" spans="1:10" x14ac:dyDescent="0.25">
      <c r="A58" s="2"/>
      <c r="B58" s="2"/>
      <c r="C58" s="2"/>
      <c r="D58" s="2"/>
      <c r="E58" s="7"/>
      <c r="F58" s="6"/>
      <c r="G58" s="6"/>
      <c r="H58" s="1"/>
      <c r="I58" s="1"/>
    </row>
    <row r="59" spans="1:10" x14ac:dyDescent="0.25">
      <c r="E59" s="7" t="s">
        <v>24</v>
      </c>
      <c r="F59" s="6">
        <f>SUM(F3:F46)</f>
        <v>12932.079999999994</v>
      </c>
    </row>
  </sheetData>
  <hyperlinks>
    <hyperlink ref="H2" r:id="rId1" xr:uid="{FC65F728-1D6C-4930-9736-CD308A81A115}"/>
    <hyperlink ref="H4" r:id="rId2" xr:uid="{3FA92BB8-87CB-48DF-80DE-ADB99C5948DA}"/>
    <hyperlink ref="H5" r:id="rId3" xr:uid="{2B925F9B-9EBC-46F8-92CC-B2D2295D9E04}"/>
    <hyperlink ref="H6" r:id="rId4" xr:uid="{D7748C9A-D5A9-4091-9C5F-1C78524E3FEB}"/>
    <hyperlink ref="H8" r:id="rId5" xr:uid="{BE59E38F-DA22-4ED1-BF36-E84DE0018044}"/>
    <hyperlink ref="H7" r:id="rId6" xr:uid="{843281D0-FA21-4F36-A652-0F07141A7B84}"/>
    <hyperlink ref="H3" r:id="rId7" xr:uid="{AC5FA834-82E0-404E-B150-C4F68DA38C6A}"/>
    <hyperlink ref="H11" r:id="rId8" xr:uid="{30A401D7-C620-43B9-9D9E-19B3DC7BF553}"/>
    <hyperlink ref="I12" r:id="rId9" xr:uid="{9E7C13BC-99F6-4C00-8247-D65DF4039E02}"/>
    <hyperlink ref="H15" r:id="rId10" xr:uid="{D9870AF0-1C4B-473B-8416-474E754D5E7E}"/>
    <hyperlink ref="H16" r:id="rId11" xr:uid="{7E2805CC-0B04-4DB0-9F38-3741F75A7D1D}"/>
    <hyperlink ref="H18" r:id="rId12" xr:uid="{6AF56708-0BAB-42E8-A3AE-FD431334CF6C}"/>
    <hyperlink ref="H19" r:id="rId13" xr:uid="{F2324ACB-C085-42C4-8640-3C360A4D119E}"/>
    <hyperlink ref="H22" r:id="rId14" xr:uid="{36F5D6E3-807C-49A7-8D30-80566D9949D4}"/>
    <hyperlink ref="H24" r:id="rId15" xr:uid="{1F94BCB9-4D2C-4C92-8BF0-A4FC479E37E8}"/>
    <hyperlink ref="H25" r:id="rId16" xr:uid="{6624F982-B428-4251-AA28-31179DCD8937}"/>
    <hyperlink ref="H26" r:id="rId17" xr:uid="{58E2A489-0714-4655-8748-622D874EF6F8}"/>
    <hyperlink ref="H27" r:id="rId18" xr:uid="{81E87505-E60E-4515-89EA-9361938F7388}"/>
    <hyperlink ref="H28" r:id="rId19" xr:uid="{EFDA772F-CC83-4998-A756-1FADE307C734}"/>
    <hyperlink ref="H29" r:id="rId20" xr:uid="{F81462CE-4E7C-4FAB-8A8E-D305901B6FCF}"/>
    <hyperlink ref="H32" r:id="rId21" xr:uid="{0B3AB74B-6B3E-4207-9645-7AB7D6617AD3}"/>
    <hyperlink ref="H33" r:id="rId22" xr:uid="{5CF86D47-7D87-4635-9306-B8490C771687}"/>
    <hyperlink ref="H35" r:id="rId23" xr:uid="{71E7E2F7-3EA3-469E-BDBD-A5E1E2E4F347}"/>
    <hyperlink ref="H36" r:id="rId24" xr:uid="{F2165E25-79D9-4521-9261-0FF86CB8CEB1}"/>
    <hyperlink ref="H14" r:id="rId25" xr:uid="{2459F536-6BF7-4F95-8ED6-65EBE68E0306}"/>
    <hyperlink ref="I6" r:id="rId26" xr:uid="{A8C35020-1C53-4073-BE6C-0F6933CB1921}"/>
    <hyperlink ref="I5" r:id="rId27" xr:uid="{A49999D0-0D24-4148-A259-6949303F3996}"/>
    <hyperlink ref="I7" r:id="rId28" xr:uid="{D90F92BC-9947-4813-8C28-6009DA178051}"/>
    <hyperlink ref="H30" r:id="rId29" xr:uid="{F3415021-EB69-4CB6-B212-558D2454FF2B}"/>
    <hyperlink ref="I30" r:id="rId30" xr:uid="{E4EF5DF5-36DD-4B50-AF25-A19F9CE4857A}"/>
    <hyperlink ref="H39" r:id="rId31" display="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" xr:uid="{4B8089ED-EC5B-48CB-8DCC-6C3B9EB37FA7}"/>
    <hyperlink ref="H40" r:id="rId32" xr:uid="{E263962D-47C1-49F9-A559-36360176D757}"/>
    <hyperlink ref="H20" r:id="rId33" xr:uid="{83A27BB2-9C4A-4120-9925-FBAA61079743}"/>
    <hyperlink ref="H37" r:id="rId34" xr:uid="{1E1A9060-9FD1-40EB-9CB4-035E777CB97F}"/>
    <hyperlink ref="H21" r:id="rId35" xr:uid="{E3301FAD-92C1-4805-8EF6-30AE4F47746A}"/>
    <hyperlink ref="H42" r:id="rId36" xr:uid="{94087BF9-485B-4DE1-AA9E-568F4259E676}"/>
    <hyperlink ref="H44" r:id="rId37" xr:uid="{6D79D5B6-03CD-4FCF-94AD-8DF566E11950}"/>
    <hyperlink ref="H45" r:id="rId38" display="https://nam02.safelinks.protection.outlook.com/?url=https%3A%2F%2Fwww.grainger.com%2Fproduct%2FMILWAUKEE-Hole-Saw-1-in-Saw-Dia-856EV8&amp;data=05%7C02%7CCKB11%40email.sc.edu%7C9a1df447a7c2434dc85d08de157fc0b4%7C4b2a4b19d135420e8bb2b1cd238998cc%7C0%7C0%7C638971835598967940%7CUnknown%7CTWFpbGZsb3d8eyJFbXB0eU1hcGkiOnRydWUsIlYiOiIwLjAuMDAwMCIsIlAiOiJXaW4zMiIsIkFOIjoiTWFpbCIsIldUIjoyfQ%3D%3D%7C0%7C%7C%7C&amp;sdata=EAjn5hwuV%2BewMqz9WyyZN%2Fqwh4VRByeEbQ3Le73uExc%3D&amp;reserved=0" xr:uid="{A9796287-2762-473D-888E-E0F37F2D5222}"/>
    <hyperlink ref="I46" r:id="rId39" xr:uid="{B771626B-BE96-4E86-B8E7-5F4D421B11CC}"/>
    <hyperlink ref="H31" r:id="rId40" xr:uid="{9087F97E-6A29-4916-9C63-C220AC3B6655}"/>
    <hyperlink ref="H41" r:id="rId41" xr:uid="{3FA6174D-CFA4-4F51-8AB7-928DB84B83AE}"/>
    <hyperlink ref="H10" r:id="rId42" xr:uid="{CA460F6E-5DB5-4664-8FEE-75CFFB393BB3}"/>
    <hyperlink ref="H34" r:id="rId43" xr:uid="{FCA7462C-56B8-40BE-88B0-4E17914E262A}"/>
    <hyperlink ref="I13" r:id="rId44" xr:uid="{6182DCE3-4B59-424F-BBA5-94FF6A050AA7}"/>
    <hyperlink ref="H12" r:id="rId45" xr:uid="{80AEB9C5-B34A-47B7-B629-CA013D850F78}"/>
    <hyperlink ref="H13" r:id="rId46" xr:uid="{9A7EEE39-F6AF-4441-96F7-8CCFEF7E26ED}"/>
    <hyperlink ref="H43" r:id="rId47" display="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" xr:uid="{D6E43660-0348-48F7-B835-5FFA92D0AC06}"/>
    <hyperlink ref="I50" r:id="rId48" xr:uid="{AFA37929-80FF-4637-AB25-F765C59DEC80}"/>
    <hyperlink ref="H50" r:id="rId49" location="783729-01" xr:uid="{86E4315F-9605-4390-9808-4C1319284FB5}"/>
    <hyperlink ref="J50" r:id="rId50" xr:uid="{0D945760-6966-49BB-81FD-0CCA53C54EE4}"/>
    <hyperlink ref="H51" r:id="rId51" xr:uid="{A22DF26B-12AE-4EE4-BB05-EE40FB1AEBE2}"/>
    <hyperlink ref="H52" r:id="rId52" xr:uid="{2FFE435A-D60B-4786-9A2A-8172F6B1C65F}"/>
    <hyperlink ref="H17" r:id="rId53" xr:uid="{5105D23B-A48B-4DCB-BD98-F0992A3E1B30}"/>
  </hyperlinks>
  <pageMargins left="0.7" right="0.7" top="0.75" bottom="0.75" header="0.3" footer="0.3"/>
  <pageSetup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2026-08-15T21:51:18Z</dcterms:modified>
</cp:coreProperties>
</file>