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105aa9bb97034c/Documents/GitHub/Smart-Pack-for-Advanced-Research-and-Control/variations/Camden/V0.2.1/"/>
    </mc:Choice>
  </mc:AlternateContent>
  <xr:revisionPtr revIDLastSave="37" documentId="13_ncr:1_{7AB63AE7-4EA2-4048-A932-9087CFBE3B31}" xr6:coauthVersionLast="47" xr6:coauthVersionMax="47" xr10:uidLastSave="{F7AD4F2C-7ACD-4A9B-BDD8-87D87ED80A4A}"/>
  <bookViews>
    <workbookView xWindow="-110" yWindow="-110" windowWidth="19420" windowHeight="115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42" i="1"/>
  <c r="E41" i="1"/>
  <c r="E40" i="1"/>
  <c r="E35" i="1"/>
  <c r="E39" i="1"/>
  <c r="E38" i="1"/>
  <c r="E37" i="1"/>
  <c r="E36" i="1"/>
  <c r="E29" i="1"/>
  <c r="E30" i="1"/>
  <c r="E31" i="1"/>
  <c r="E32" i="1"/>
  <c r="E33" i="1"/>
  <c r="E34" i="1"/>
  <c r="E28" i="1"/>
  <c r="E27" i="1"/>
  <c r="E26" i="1"/>
  <c r="E25" i="1"/>
  <c r="E24" i="1"/>
  <c r="E23" i="1"/>
  <c r="E17" i="1"/>
  <c r="E3" i="1"/>
  <c r="E4" i="1"/>
  <c r="E5" i="1"/>
  <c r="E6" i="1"/>
  <c r="E7" i="1"/>
  <c r="E8" i="1"/>
  <c r="E11" i="1"/>
  <c r="E12" i="1"/>
  <c r="E13" i="1"/>
  <c r="E14" i="1"/>
  <c r="E15" i="1"/>
  <c r="E16" i="1"/>
  <c r="E18" i="1"/>
  <c r="E19" i="1"/>
  <c r="E20" i="1"/>
  <c r="E21" i="1"/>
  <c r="E22" i="1"/>
  <c r="E2" i="1"/>
  <c r="E50" i="1" l="1"/>
</calcChain>
</file>

<file path=xl/sharedStrings.xml><?xml version="1.0" encoding="utf-8"?>
<sst xmlns="http://schemas.openxmlformats.org/spreadsheetml/2006/main" count="162" uniqueCount="160">
  <si>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</si>
  <si>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</si>
  <si>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</si>
  <si>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</si>
  <si>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</si>
  <si>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</si>
  <si>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</si>
  <si>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</si>
  <si>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</si>
  <si>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</si>
  <si>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</si>
  <si>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</si>
  <si>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</si>
  <si>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</si>
  <si>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</si>
  <si>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</si>
  <si>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</si>
  <si>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</si>
  <si>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</si>
  <si>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</si>
  <si>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</si>
  <si>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</si>
  <si>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</si>
  <si>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</si>
  <si>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</si>
  <si>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</si>
  <si>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</si>
  <si>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</si>
  <si>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</si>
  <si>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</si>
  <si>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</si>
  <si>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</si>
  <si>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</si>
  <si>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strain gauge</t>
  </si>
  <si>
    <t>1033-1060-ND - Micro-Measurements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</si>
  <si>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</si>
  <si>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</si>
  <si>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</si>
  <si>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</si>
  <si>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</si>
  <si>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</si>
  <si>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</si>
  <si>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</si>
  <si>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</si>
  <si>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</si>
  <si>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</si>
  <si>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</si>
  <si>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</si>
  <si>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</si>
  <si>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</si>
  <si>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</si>
  <si>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</si>
  <si>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</si>
  <si>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</si>
  <si>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</si>
  <si>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</si>
  <si>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</si>
  <si>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</si>
  <si>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</si>
  <si>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</si>
  <si>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</si>
  <si>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</si>
  <si>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</si>
  <si>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</si>
  <si>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</si>
  <si>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</si>
  <si>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</si>
  <si>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</si>
  <si>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</si>
  <si>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</si>
  <si>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</si>
  <si>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</si>
  <si>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</si>
  <si>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</si>
  <si>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</si>
  <si>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</si>
  <si>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</si>
  <si>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</si>
  <si>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</si>
  <si>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</si>
  <si>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</si>
  <si>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</si>
  <si>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</si>
  <si>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</si>
  <si>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</si>
  <si>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</si>
  <si>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</si>
  <si>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</si>
  <si>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</si>
  <si>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</si>
  <si>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</si>
  <si>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</si>
  <si>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</si>
  <si>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</si>
  <si>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</si>
  <si>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</si>
  <si>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</si>
  <si>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</si>
  <si>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</si>
  <si>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</si>
  <si>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https://www.digikey.com/en/products/detail/cnc-tech/10982-18-1-2000-004-1-TD/12749509</t>
  </si>
  <si>
    <t>18 ga copper tinned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</si>
  <si>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</si>
  <si>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</si>
  <si>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</si>
  <si>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</si>
  <si>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</si>
  <si>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</si>
  <si>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</si>
  <si>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</si>
  <si>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</si>
  <si>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</si>
  <si>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</si>
  <si>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</si>
  <si>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</si>
  <si>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</si>
  <si>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</si>
  <si>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</si>
  <si>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</si>
  <si>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</si>
  <si>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</si>
  <si>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</si>
  <si>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</si>
  <si>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</si>
  <si>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</si>
  <si>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</si>
  <si>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</si>
  <si>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</si>
  <si>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</si>
  <si>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</si>
  <si>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</si>
  <si>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</si>
  <si>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</si>
  <si>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</si>
  <si>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</si>
  <si>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</si>
  <si>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</si>
  <si>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</si>
  <si>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</si>
  <si>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</si>
  <si>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 xml:space="preserve"> https://www.mcmaster.com/9432K48/</t>
  </si>
  <si>
    <t>Music-Wire Steel Extension Springs with Hook Ends</t>
  </si>
  <si>
    <t>the total cost is actually the price of 6 since that is the lowest it is sold at</t>
  </si>
  <si>
    <t>https://www.fastenal.com/product/details/923785687</t>
  </si>
  <si>
    <t>contact bolt</t>
  </si>
  <si>
    <t>https://www.grainger.com/product/Hex-Head-Cap-Screw-Stainless-22TF95</t>
  </si>
  <si>
    <t>Hex Head Cap Screw: Stainless Steel, A2, Plain, M6-1.00, Coarse, 16 mm lg,</t>
  </si>
  <si>
    <t>pack of 50, need 2</t>
  </si>
  <si>
    <t>contact nut</t>
  </si>
  <si>
    <t>contact washer</t>
  </si>
  <si>
    <t>https://www.grainger.com/product/Flat-Washer-18-8-26WC34</t>
  </si>
  <si>
    <t>https://www.grainger.com/product/Hex-Nut-Std-Hex-22YK33</t>
  </si>
  <si>
    <t>Flat Washer: 18-8, Stainless Steel, M6 Screw Sz, 6.62 mm In Dia, 12 mm Out Dia, 18-8, 50 PK</t>
  </si>
  <si>
    <t>Hex Nut: Std Hex, M6x1.00 Thread, 10 mm Hex Wd, 5 mm Hex Ht, Stainless Steel, 18-8, Plain, 50 PK</t>
  </si>
  <si>
    <t>22 gauge red wire</t>
  </si>
  <si>
    <t>22 gauge black wire</t>
  </si>
  <si>
    <t>APPROVED VENDOR Automotive Wire: TXL, 100 ft, 1 Conductor, 22 AWG, Black, 60 V Volt</t>
  </si>
  <si>
    <t>https://www.grainger.com/product/Automotive-Wire-TXL-862FY9</t>
  </si>
  <si>
    <t>APPROVED VENDOR Automotive Wire: TXL, 100 ft, 1 Conductor, 22 AWG, Red, 60 V Volt</t>
  </si>
  <si>
    <t>https://www.grainger.com/product/Automotive-Wire-TXL-862FZ5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</si>
</sst>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grainger.com/product/TEMPCO-Thermocouple-Probe-Thermocouple-3AAA2?opr=ODOH&amp;analytics=FM:Order%20History" TargetMode="External"/><Relationship Id="rId39" Type="http://schemas.openxmlformats.org/officeDocument/2006/relationships/hyperlink" Target="https://www.grainger.com/product/Compression-Fitting-Adapter-46M551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digikey.com/en/products/detail/mg-chemicals/419D-55ML/9657990" TargetMode="External"/><Relationship Id="rId42" Type="http://schemas.openxmlformats.org/officeDocument/2006/relationships/hyperlink" Target="https://www.grainger.com/product/TEMPCO-Thermocouple-Wire-Type-K-3AGF3" TargetMode="External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29" Type="http://schemas.openxmlformats.org/officeDocument/2006/relationships/hyperlink" Target="https://www.digikey.com/en/products/detail/ni/779373-01/15219106" TargetMode="External"/><Relationship Id="rId41" Type="http://schemas.openxmlformats.org/officeDocument/2006/relationships/hyperlink" Target="https://www.fastenal.com/product/details/923785687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digikey.com/en/products/detail/molex/0191930226/1952713" TargetMode="External"/><Relationship Id="rId32" Type="http://schemas.openxmlformats.org/officeDocument/2006/relationships/hyperlink" Target="https://www.digikey.com/en/products/detail/cnc-tech/10982-18-1-2000-004-1-TD/12749509" TargetMode="External"/><Relationship Id="rId37" Type="http://schemas.openxmlformats.org/officeDocument/2006/relationships/hyperlink" Target="https://www.grainger.com/product/PARKER-Anchor-Coupling-Brass-13Y869?opr=ODOH&amp;analytics=FM:Order%20History" TargetMode="External"/><Relationship Id="rId40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TargetMode="External"/><Relationship Id="rId28" Type="http://schemas.openxmlformats.org/officeDocument/2006/relationships/hyperlink" Target="https://www.digikey.com/en/products/detail/ni/786425-01/16648375?s=N4IgTCBcDaIMYCUCSB5AtATgAwFYAsIAugL5A" TargetMode="External"/><Relationship Id="rId36" Type="http://schemas.openxmlformats.org/officeDocument/2006/relationships/hyperlink" Target="https://www.grainger.com/product/Tee-Red-Brass-1VEZ1?opr=PDPRRDSP&amp;analytics=dsrrItems_1CPF5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ni/785185-01/15218920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5996-01/15219166" TargetMode="External"/><Relationship Id="rId30" Type="http://schemas.openxmlformats.org/officeDocument/2006/relationships/hyperlink" Target="https://www.ni.com/en-us/shop/model/ni-9213.html" TargetMode="External"/><Relationship Id="rId35" Type="http://schemas.openxmlformats.org/officeDocument/2006/relationships/hyperlink" Target="https://www.grainger.com/product/SPEEDAIRE-Barbed-Hose-Fitting-For-3-6AFN8" TargetMode="External"/><Relationship Id="rId43" Type="http://schemas.openxmlformats.org/officeDocument/2006/relationships/hyperlink" Target="https://www.grainger.com/product/Hex-Bushing-Brass-6AYW6" TargetMode="External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aliexpress.us/item/3256805148780496.html?gatewayAdapt=glo2usa4itemAdapt" TargetMode="External"/><Relationship Id="rId33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38" Type="http://schemas.openxmlformats.org/officeDocument/2006/relationships/hyperlink" Target="https://www.grainger.com/product/Flat-Washer-18-8-22UG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50"/>
  <sheetViews>
    <sheetView tabSelected="1" zoomScale="115" zoomScaleNormal="115" workbookViewId="0">
      <selection activeCell="G10" sqref="G10"/>
    </sheetView>
  </sheetViews>
  <sheetFormatPr defaultColWidth="8.81640625" defaultRowHeight="14.5" x14ac:dyDescent="0.35"/>
  <cols>
    <col min="1" max="1" width="25.453125" bestFit="1" customWidth="1"/>
    <col min="2" max="2" width="74" bestFit="1" customWidth="1"/>
    <col min="3" max="3" width="7.1796875" bestFit="1" customWidth="1"/>
    <col min="4" max="4" width="12.54296875" bestFit="1" customWidth="1"/>
    <col min="5" max="6" width="12.26953125" customWidth="1"/>
    <col min="7" max="7" width="69.453125" customWidth="1"/>
    <col min="8" max="8" width="76" customWidth="1"/>
    <col min="9" max="9" width="83.54296875" customWidth="1"/>
    <col min="10" max="10" width="62.54296875" customWidth="1"/>
    <col min="11" max="11" width="55.81640625" customWidth="1"/>
    <col min="12" max="12" width="51" customWidth="1"/>
  </cols>
  <sheetData>
    <row r="1" spans="1:12" ht="15" customHeight="1" x14ac:dyDescent="0.3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3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35">
      <c r="A3" t="s">
        <v>102</v>
      </c>
      <c r="B3" s="2" t="s">
        <v>31</v>
      </c>
      <c r="C3" s="2">
        <v>1</v>
      </c>
      <c r="D3" s="6">
        <v>9.99</v>
      </c>
      <c r="E3" s="6">
        <f t="shared" ref="E3:E42" si="0">C3*D3</f>
        <v>9.99</v>
      </c>
      <c r="F3" s="6"/>
      <c r="G3" s="3" t="s">
        <v>30</v>
      </c>
      <c r="H3" s="4"/>
    </row>
    <row r="4" spans="1:12" ht="15" customHeight="1" x14ac:dyDescent="0.3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3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94</v>
      </c>
      <c r="I5" s="2"/>
    </row>
    <row r="6" spans="1:12" ht="15" customHeight="1" x14ac:dyDescent="0.3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93</v>
      </c>
      <c r="I6" s="3"/>
    </row>
    <row r="7" spans="1:12" ht="15" customHeight="1" x14ac:dyDescent="0.3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95</v>
      </c>
      <c r="I7" s="2"/>
    </row>
    <row r="8" spans="1:12" ht="15" customHeight="1" x14ac:dyDescent="0.3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35">
      <c r="A9" s="2" t="s">
        <v>155</v>
      </c>
      <c r="B9" s="11" t="s">
        <v>156</v>
      </c>
      <c r="C9" s="2">
        <v>1</v>
      </c>
      <c r="D9" s="6">
        <v>10.72</v>
      </c>
      <c r="E9" s="6">
        <f t="shared" si="0"/>
        <v>10.72</v>
      </c>
      <c r="F9" s="6"/>
      <c r="G9" s="3" t="s">
        <v>157</v>
      </c>
    </row>
    <row r="10" spans="1:12" ht="15" customHeight="1" x14ac:dyDescent="0.35">
      <c r="A10" s="2" t="s">
        <v>154</v>
      </c>
      <c r="B10" s="12" t="s">
        <v>158</v>
      </c>
      <c r="C10" s="2"/>
      <c r="D10" s="6">
        <v>10.72</v>
      </c>
      <c r="E10" s="6">
        <v>10.72</v>
      </c>
      <c r="F10" s="6"/>
      <c r="G10" s="3" t="s">
        <v>159</v>
      </c>
    </row>
    <row r="11" spans="1:12" ht="15" customHeight="1" x14ac:dyDescent="0.35">
      <c r="A11" s="2" t="s">
        <v>68</v>
      </c>
      <c r="B11" s="2" t="s">
        <v>69</v>
      </c>
      <c r="C11" s="2">
        <v>1</v>
      </c>
      <c r="D11" s="6">
        <v>90.99</v>
      </c>
      <c r="E11" s="6">
        <f t="shared" si="0"/>
        <v>90.99</v>
      </c>
      <c r="F11" s="6"/>
      <c r="G11" s="3" t="s">
        <v>32</v>
      </c>
      <c r="H11" s="5"/>
      <c r="I11" s="5"/>
    </row>
    <row r="12" spans="1:12" ht="15" customHeight="1" x14ac:dyDescent="0.35">
      <c r="A12" s="2" t="s">
        <v>33</v>
      </c>
      <c r="B12" s="2" t="s">
        <v>34</v>
      </c>
      <c r="C12" s="2">
        <v>1</v>
      </c>
      <c r="D12" s="6">
        <v>162.72</v>
      </c>
      <c r="E12" s="6">
        <f t="shared" si="0"/>
        <v>162.72</v>
      </c>
      <c r="F12" s="6"/>
      <c r="G12" s="3" t="s">
        <v>35</v>
      </c>
      <c r="H12" s="3"/>
      <c r="I12" s="5"/>
    </row>
    <row r="13" spans="1:12" ht="15" customHeight="1" x14ac:dyDescent="0.35">
      <c r="A13" s="2" t="s">
        <v>36</v>
      </c>
      <c r="B13" s="2" t="s">
        <v>38</v>
      </c>
      <c r="C13" s="2">
        <v>2</v>
      </c>
      <c r="D13" s="6">
        <v>23.08</v>
      </c>
      <c r="E13" s="6">
        <f t="shared" si="0"/>
        <v>46.16</v>
      </c>
      <c r="F13" s="6"/>
      <c r="G13" s="3" t="s">
        <v>40</v>
      </c>
      <c r="H13" s="5"/>
    </row>
    <row r="14" spans="1:12" ht="15" customHeight="1" x14ac:dyDescent="0.35">
      <c r="A14" s="2" t="s">
        <v>37</v>
      </c>
      <c r="B14" s="5" t="s">
        <v>39</v>
      </c>
      <c r="C14" s="2">
        <v>2</v>
      </c>
      <c r="D14" s="6">
        <v>7.26</v>
      </c>
      <c r="E14" s="6">
        <f t="shared" si="0"/>
        <v>14.52</v>
      </c>
      <c r="F14" s="6"/>
      <c r="G14" s="3" t="s">
        <v>41</v>
      </c>
      <c r="H14" s="5"/>
    </row>
    <row r="15" spans="1:12" ht="15" customHeight="1" x14ac:dyDescent="0.35">
      <c r="A15" s="2" t="s">
        <v>43</v>
      </c>
      <c r="B15" s="2" t="s">
        <v>44</v>
      </c>
      <c r="C15" s="2">
        <v>1</v>
      </c>
      <c r="D15" s="6">
        <v>8.98</v>
      </c>
      <c r="E15" s="6">
        <f t="shared" si="0"/>
        <v>8.98</v>
      </c>
      <c r="F15" s="6"/>
      <c r="G15" s="3" t="s">
        <v>42</v>
      </c>
    </row>
    <row r="16" spans="1:12" ht="15" customHeight="1" x14ac:dyDescent="0.35">
      <c r="A16" s="2" t="s">
        <v>45</v>
      </c>
      <c r="B16" s="2" t="s">
        <v>46</v>
      </c>
      <c r="C16" s="2">
        <v>2</v>
      </c>
      <c r="D16" s="6">
        <v>74.89</v>
      </c>
      <c r="E16" s="6">
        <f t="shared" si="0"/>
        <v>149.78</v>
      </c>
      <c r="F16" s="6"/>
      <c r="G16" s="3" t="s">
        <v>47</v>
      </c>
      <c r="H16" s="3"/>
      <c r="I16" s="3"/>
      <c r="J16" s="3"/>
      <c r="K16" s="5"/>
      <c r="L16" s="5"/>
    </row>
    <row r="17" spans="1:8" ht="15" customHeight="1" x14ac:dyDescent="0.35">
      <c r="A17" s="2" t="s">
        <v>49</v>
      </c>
      <c r="B17" s="2" t="s">
        <v>48</v>
      </c>
      <c r="C17" s="2">
        <v>2</v>
      </c>
      <c r="D17" s="6">
        <v>10.17</v>
      </c>
      <c r="E17" s="6">
        <f>C17*D17</f>
        <v>20.34</v>
      </c>
      <c r="F17" s="6"/>
      <c r="G17" s="3" t="s">
        <v>50</v>
      </c>
      <c r="H17" s="5"/>
    </row>
    <row r="18" spans="1:8" ht="15" customHeight="1" x14ac:dyDescent="0.35">
      <c r="A18" s="2" t="s">
        <v>52</v>
      </c>
      <c r="B18" s="2" t="s">
        <v>51</v>
      </c>
      <c r="C18" s="2">
        <v>8</v>
      </c>
      <c r="D18" s="6">
        <v>1.77</v>
      </c>
      <c r="E18" s="6">
        <f t="shared" si="0"/>
        <v>14.16</v>
      </c>
      <c r="F18" s="6"/>
      <c r="G18" s="3" t="s">
        <v>115</v>
      </c>
      <c r="H18" s="5"/>
    </row>
    <row r="19" spans="1:8" ht="15" customHeight="1" x14ac:dyDescent="0.35">
      <c r="A19" s="2" t="s">
        <v>123</v>
      </c>
      <c r="B19" s="2" t="s">
        <v>122</v>
      </c>
      <c r="C19" s="2">
        <v>2</v>
      </c>
      <c r="D19" s="6">
        <v>23.66</v>
      </c>
      <c r="E19" s="6">
        <f t="shared" si="0"/>
        <v>47.32</v>
      </c>
      <c r="F19" s="6"/>
      <c r="G19" s="3" t="s">
        <v>124</v>
      </c>
      <c r="H19" s="5"/>
    </row>
    <row r="20" spans="1:8" ht="15" customHeight="1" x14ac:dyDescent="0.35">
      <c r="A20" s="2" t="s">
        <v>111</v>
      </c>
      <c r="B20" s="2" t="s">
        <v>53</v>
      </c>
      <c r="C20" s="2">
        <v>1</v>
      </c>
      <c r="D20" s="6">
        <v>15.02</v>
      </c>
      <c r="E20" s="6">
        <f t="shared" si="0"/>
        <v>15.02</v>
      </c>
      <c r="F20" s="6"/>
      <c r="G20" s="3" t="s">
        <v>54</v>
      </c>
      <c r="H20" s="3"/>
    </row>
    <row r="21" spans="1:8" ht="15" customHeight="1" x14ac:dyDescent="0.35">
      <c r="A21" s="2" t="s">
        <v>55</v>
      </c>
      <c r="B21" s="2" t="s">
        <v>114</v>
      </c>
      <c r="C21" s="2">
        <v>1</v>
      </c>
      <c r="D21" s="6">
        <v>12.46</v>
      </c>
      <c r="E21" s="6">
        <f t="shared" si="0"/>
        <v>12.46</v>
      </c>
      <c r="F21" s="6"/>
      <c r="G21" s="3" t="s">
        <v>113</v>
      </c>
      <c r="H21" s="5"/>
    </row>
    <row r="22" spans="1:8" ht="15" customHeight="1" x14ac:dyDescent="0.35">
      <c r="A22" s="2" t="s">
        <v>112</v>
      </c>
      <c r="B22" s="2" t="s">
        <v>56</v>
      </c>
      <c r="C22" s="2">
        <v>1</v>
      </c>
      <c r="D22" s="6">
        <v>15.13</v>
      </c>
      <c r="E22" s="6">
        <f t="shared" si="0"/>
        <v>15.13</v>
      </c>
      <c r="F22" s="6"/>
      <c r="G22" s="3" t="s">
        <v>57</v>
      </c>
      <c r="H22" s="5"/>
    </row>
    <row r="23" spans="1:8" ht="15" customHeight="1" x14ac:dyDescent="0.35">
      <c r="A23" s="2" t="s">
        <v>58</v>
      </c>
      <c r="B23" s="2" t="s">
        <v>59</v>
      </c>
      <c r="C23" s="2">
        <v>1</v>
      </c>
      <c r="D23" s="6">
        <v>29.3</v>
      </c>
      <c r="E23" s="6">
        <f t="shared" si="0"/>
        <v>29.3</v>
      </c>
      <c r="F23" s="6"/>
      <c r="G23" s="3" t="s">
        <v>60</v>
      </c>
      <c r="H23" s="5"/>
    </row>
    <row r="24" spans="1:8" ht="15" customHeight="1" x14ac:dyDescent="0.35">
      <c r="A24" s="2" t="s">
        <v>61</v>
      </c>
      <c r="B24" s="2" t="s">
        <v>62</v>
      </c>
      <c r="C24" s="2">
        <v>1</v>
      </c>
      <c r="D24" s="6">
        <v>4.09</v>
      </c>
      <c r="E24" s="6">
        <f t="shared" si="0"/>
        <v>4.09</v>
      </c>
      <c r="F24" s="6"/>
      <c r="G24" s="3" t="s">
        <v>63</v>
      </c>
      <c r="H24" s="5"/>
    </row>
    <row r="25" spans="1:8" ht="15" customHeight="1" x14ac:dyDescent="0.35">
      <c r="A25" s="2" t="s">
        <v>64</v>
      </c>
      <c r="B25" s="2" t="s">
        <v>66</v>
      </c>
      <c r="C25" s="2">
        <v>1</v>
      </c>
      <c r="D25" s="6">
        <v>147.52000000000001</v>
      </c>
      <c r="E25" s="6">
        <f t="shared" si="0"/>
        <v>147.52000000000001</v>
      </c>
      <c r="F25" s="6"/>
      <c r="G25" s="3" t="s">
        <v>65</v>
      </c>
      <c r="H25" s="5"/>
    </row>
    <row r="26" spans="1:8" ht="15" customHeight="1" x14ac:dyDescent="0.35">
      <c r="A26" s="2" t="s">
        <v>67</v>
      </c>
      <c r="B26" s="2" t="s">
        <v>71</v>
      </c>
      <c r="C26" s="2">
        <v>4</v>
      </c>
      <c r="D26" s="6">
        <v>1.45</v>
      </c>
      <c r="E26" s="6">
        <f t="shared" si="0"/>
        <v>5.8</v>
      </c>
      <c r="F26" s="6"/>
      <c r="G26" s="3" t="s">
        <v>70</v>
      </c>
      <c r="H26" s="5"/>
    </row>
    <row r="27" spans="1:8" ht="15" customHeight="1" x14ac:dyDescent="0.35">
      <c r="A27" s="2" t="s">
        <v>110</v>
      </c>
      <c r="B27" s="2" t="s">
        <v>73</v>
      </c>
      <c r="C27" s="2">
        <v>1</v>
      </c>
      <c r="D27" s="6">
        <v>1.46</v>
      </c>
      <c r="E27" s="6">
        <f t="shared" si="0"/>
        <v>1.46</v>
      </c>
      <c r="F27" s="6"/>
      <c r="G27" s="3" t="s">
        <v>72</v>
      </c>
      <c r="H27" s="5"/>
    </row>
    <row r="28" spans="1:8" ht="15" customHeight="1" x14ac:dyDescent="0.35">
      <c r="A28" s="2" t="s">
        <v>75</v>
      </c>
      <c r="B28" s="2" t="s">
        <v>74</v>
      </c>
      <c r="C28" s="2">
        <v>1</v>
      </c>
      <c r="D28" s="6">
        <v>2195</v>
      </c>
      <c r="E28" s="6">
        <f t="shared" si="0"/>
        <v>2195</v>
      </c>
      <c r="F28" s="6"/>
      <c r="G28" s="3" t="s">
        <v>76</v>
      </c>
      <c r="H28" s="3" t="s">
        <v>96</v>
      </c>
    </row>
    <row r="29" spans="1:8" ht="15" customHeight="1" x14ac:dyDescent="0.35">
      <c r="A29" s="2" t="s">
        <v>77</v>
      </c>
      <c r="B29" s="2" t="s">
        <v>78</v>
      </c>
      <c r="C29" s="2">
        <v>1</v>
      </c>
      <c r="D29" s="6">
        <v>99.89</v>
      </c>
      <c r="E29" s="6">
        <f t="shared" si="0"/>
        <v>99.89</v>
      </c>
      <c r="F29" s="6"/>
      <c r="G29" s="3" t="s">
        <v>103</v>
      </c>
      <c r="H29" s="5"/>
    </row>
    <row r="30" spans="1:8" ht="15" customHeight="1" x14ac:dyDescent="0.35">
      <c r="A30" s="2" t="s">
        <v>79</v>
      </c>
      <c r="B30" s="2" t="s">
        <v>80</v>
      </c>
      <c r="C30" s="2">
        <v>10</v>
      </c>
      <c r="D30" s="6">
        <v>6.92</v>
      </c>
      <c r="E30" s="6">
        <f t="shared" si="0"/>
        <v>69.2</v>
      </c>
      <c r="F30" s="6"/>
      <c r="G30" s="3" t="s">
        <v>81</v>
      </c>
      <c r="H30" s="5"/>
    </row>
    <row r="31" spans="1:8" ht="15" customHeight="1" x14ac:dyDescent="0.35">
      <c r="A31" s="2" t="s">
        <v>84</v>
      </c>
      <c r="B31" s="2" t="s">
        <v>83</v>
      </c>
      <c r="C31" s="2">
        <v>2</v>
      </c>
      <c r="D31" s="7">
        <v>72.75</v>
      </c>
      <c r="E31" s="6">
        <f t="shared" si="0"/>
        <v>145.5</v>
      </c>
      <c r="F31" s="6"/>
      <c r="G31" s="3" t="s">
        <v>82</v>
      </c>
      <c r="H31" s="5"/>
    </row>
    <row r="32" spans="1:8" ht="15" customHeight="1" x14ac:dyDescent="0.35">
      <c r="A32" s="2" t="s">
        <v>86</v>
      </c>
      <c r="B32" s="5" t="s">
        <v>101</v>
      </c>
      <c r="C32" s="2">
        <v>1</v>
      </c>
      <c r="D32" s="6">
        <v>41.17</v>
      </c>
      <c r="E32" s="6">
        <f t="shared" si="0"/>
        <v>41.17</v>
      </c>
      <c r="F32" s="6"/>
      <c r="G32" s="3" t="s">
        <v>85</v>
      </c>
      <c r="H32" s="3" t="s">
        <v>100</v>
      </c>
    </row>
    <row r="33" spans="1:9" ht="15" customHeight="1" x14ac:dyDescent="0.35">
      <c r="A33" s="2" t="s">
        <v>89</v>
      </c>
      <c r="B33" s="2" t="s">
        <v>88</v>
      </c>
      <c r="C33" s="2">
        <v>2</v>
      </c>
      <c r="D33" s="6">
        <v>1.1499999999999999</v>
      </c>
      <c r="E33" s="6">
        <f t="shared" si="0"/>
        <v>2.2999999999999998</v>
      </c>
      <c r="F33" s="6"/>
      <c r="G33" s="3" t="s">
        <v>87</v>
      </c>
      <c r="H33" s="5"/>
    </row>
    <row r="34" spans="1:9" ht="15" customHeight="1" x14ac:dyDescent="0.35">
      <c r="A34" s="2" t="s">
        <v>90</v>
      </c>
      <c r="B34" s="2" t="s">
        <v>91</v>
      </c>
      <c r="C34" s="2">
        <v>1</v>
      </c>
      <c r="D34" s="6">
        <v>14.65</v>
      </c>
      <c r="E34" s="6">
        <f t="shared" si="0"/>
        <v>14.65</v>
      </c>
      <c r="F34" s="6"/>
      <c r="G34" s="3" t="s">
        <v>92</v>
      </c>
      <c r="H34" s="3"/>
      <c r="I34" s="5"/>
    </row>
    <row r="35" spans="1:9" ht="15" customHeight="1" x14ac:dyDescent="0.35">
      <c r="A35" s="2" t="s">
        <v>117</v>
      </c>
      <c r="B35" s="2" t="s">
        <v>118</v>
      </c>
      <c r="C35" s="2">
        <v>2</v>
      </c>
      <c r="D35" s="2">
        <v>9.85</v>
      </c>
      <c r="E35" s="2">
        <f>C35*D35</f>
        <v>19.7</v>
      </c>
      <c r="F35" s="2"/>
      <c r="G35" s="8" t="s">
        <v>119</v>
      </c>
    </row>
    <row r="36" spans="1:9" ht="15" customHeight="1" x14ac:dyDescent="0.35">
      <c r="A36" s="2" t="s">
        <v>97</v>
      </c>
      <c r="B36" s="2" t="s">
        <v>99</v>
      </c>
      <c r="C36" s="2">
        <v>1</v>
      </c>
      <c r="D36" s="6">
        <v>19.989999999999998</v>
      </c>
      <c r="E36" s="6">
        <f t="shared" si="0"/>
        <v>19.989999999999998</v>
      </c>
      <c r="F36" s="6"/>
      <c r="G36" s="3" t="s">
        <v>98</v>
      </c>
      <c r="H36" s="5"/>
    </row>
    <row r="37" spans="1:9" ht="15" customHeight="1" x14ac:dyDescent="0.35">
      <c r="A37" s="2" t="s">
        <v>106</v>
      </c>
      <c r="B37" s="5" t="s">
        <v>105</v>
      </c>
      <c r="C37" s="2">
        <v>1</v>
      </c>
      <c r="D37" s="6">
        <v>1.87</v>
      </c>
      <c r="E37" s="6">
        <f t="shared" si="0"/>
        <v>1.87</v>
      </c>
      <c r="F37" s="6"/>
      <c r="G37" s="3" t="s">
        <v>104</v>
      </c>
      <c r="H37" s="5"/>
    </row>
    <row r="38" spans="1:9" ht="15" customHeight="1" x14ac:dyDescent="0.35">
      <c r="A38" s="2" t="s">
        <v>108</v>
      </c>
      <c r="B38" s="2" t="s">
        <v>107</v>
      </c>
      <c r="C38" s="2">
        <v>1</v>
      </c>
      <c r="D38" s="6">
        <v>22.56</v>
      </c>
      <c r="E38" s="6">
        <f t="shared" si="0"/>
        <v>22.56</v>
      </c>
      <c r="F38" s="6"/>
      <c r="G38" s="3" t="s">
        <v>109</v>
      </c>
      <c r="H38" s="5"/>
    </row>
    <row r="39" spans="1:9" ht="15" customHeight="1" x14ac:dyDescent="0.35">
      <c r="A39" s="2" t="s">
        <v>116</v>
      </c>
      <c r="B39" s="2" t="s">
        <v>120</v>
      </c>
      <c r="C39" s="2">
        <v>2</v>
      </c>
      <c r="D39" s="2">
        <v>2.1</v>
      </c>
      <c r="E39" s="6">
        <f t="shared" si="0"/>
        <v>4.2</v>
      </c>
      <c r="F39" s="6"/>
      <c r="G39" s="3" t="s">
        <v>121</v>
      </c>
    </row>
    <row r="40" spans="1:9" x14ac:dyDescent="0.35">
      <c r="A40" s="2" t="s">
        <v>125</v>
      </c>
      <c r="B40" s="2" t="s">
        <v>127</v>
      </c>
      <c r="C40" s="2">
        <v>4</v>
      </c>
      <c r="D40" s="6">
        <v>3.75</v>
      </c>
      <c r="E40" s="6">
        <f t="shared" si="0"/>
        <v>15</v>
      </c>
      <c r="F40" s="6"/>
      <c r="G40" s="1" t="s">
        <v>126</v>
      </c>
    </row>
    <row r="41" spans="1:9" x14ac:dyDescent="0.35">
      <c r="A41" s="2" t="s">
        <v>128</v>
      </c>
      <c r="B41" s="2" t="s">
        <v>129</v>
      </c>
      <c r="C41" s="2">
        <v>1</v>
      </c>
      <c r="D41" s="2">
        <v>299.54000000000002</v>
      </c>
      <c r="E41" s="2">
        <f t="shared" si="0"/>
        <v>299.54000000000002</v>
      </c>
      <c r="F41" s="2"/>
      <c r="G41" s="8" t="s">
        <v>130</v>
      </c>
    </row>
    <row r="42" spans="1:9" x14ac:dyDescent="0.35">
      <c r="A42" s="2" t="s">
        <v>133</v>
      </c>
      <c r="B42" s="2" t="s">
        <v>134</v>
      </c>
      <c r="C42" s="2">
        <v>2</v>
      </c>
      <c r="D42" s="2">
        <v>6.74</v>
      </c>
      <c r="E42" s="2">
        <f t="shared" si="0"/>
        <v>13.48</v>
      </c>
      <c r="F42" s="2" t="s">
        <v>135</v>
      </c>
      <c r="G42" s="1" t="s">
        <v>131</v>
      </c>
    </row>
    <row r="43" spans="1:9" x14ac:dyDescent="0.35">
      <c r="A43" s="2" t="s">
        <v>137</v>
      </c>
      <c r="B43" s="2" t="s">
        <v>138</v>
      </c>
      <c r="C43" s="2">
        <v>1</v>
      </c>
      <c r="D43" s="2">
        <v>15.89</v>
      </c>
      <c r="E43">
        <v>15.89</v>
      </c>
      <c r="G43" s="1" t="s">
        <v>136</v>
      </c>
    </row>
    <row r="44" spans="1:9" x14ac:dyDescent="0.35">
      <c r="A44" s="2" t="s">
        <v>139</v>
      </c>
      <c r="B44" s="2" t="s">
        <v>141</v>
      </c>
      <c r="C44" s="2">
        <v>4</v>
      </c>
      <c r="D44" s="7">
        <v>2.0699999999999998</v>
      </c>
      <c r="E44" s="6">
        <v>12.41</v>
      </c>
      <c r="F44" s="6" t="s">
        <v>142</v>
      </c>
      <c r="G44" s="1" t="s">
        <v>140</v>
      </c>
      <c r="H44" s="1" t="s">
        <v>143</v>
      </c>
    </row>
    <row r="45" spans="1:9" x14ac:dyDescent="0.35">
      <c r="A45" s="2" t="s">
        <v>144</v>
      </c>
      <c r="B45" s="2" t="s">
        <v>146</v>
      </c>
      <c r="C45" s="2">
        <v>1</v>
      </c>
      <c r="D45" s="7">
        <v>4.3600000000000003</v>
      </c>
      <c r="E45" s="7">
        <v>4.3600000000000003</v>
      </c>
      <c r="F45" s="6" t="s">
        <v>147</v>
      </c>
      <c r="G45" s="1" t="s">
        <v>145</v>
      </c>
      <c r="H45" s="1"/>
    </row>
    <row r="46" spans="1:9" ht="29" x14ac:dyDescent="0.35">
      <c r="A46" s="2" t="s">
        <v>148</v>
      </c>
      <c r="B46" s="10" t="s">
        <v>153</v>
      </c>
      <c r="C46" s="2">
        <v>1</v>
      </c>
      <c r="D46" s="7">
        <v>2.73</v>
      </c>
      <c r="E46" s="6">
        <v>2.73</v>
      </c>
      <c r="F46" s="6" t="s">
        <v>147</v>
      </c>
      <c r="G46" s="1" t="s">
        <v>151</v>
      </c>
      <c r="H46" s="1"/>
    </row>
    <row r="47" spans="1:9" ht="29" x14ac:dyDescent="0.35">
      <c r="A47" s="2" t="s">
        <v>149</v>
      </c>
      <c r="B47" s="9" t="s">
        <v>152</v>
      </c>
      <c r="C47" s="2">
        <v>1</v>
      </c>
      <c r="D47" s="7">
        <v>1.2</v>
      </c>
      <c r="E47" s="6">
        <v>1.2</v>
      </c>
      <c r="F47" s="6" t="s">
        <v>147</v>
      </c>
      <c r="G47" s="1" t="s">
        <v>150</v>
      </c>
      <c r="H47" s="1"/>
    </row>
    <row r="48" spans="1:9" x14ac:dyDescent="0.35">
      <c r="A48" s="2"/>
      <c r="B48" s="2"/>
      <c r="C48" s="2"/>
      <c r="D48" s="7"/>
      <c r="E48" s="6"/>
      <c r="F48" s="6"/>
      <c r="G48" s="1"/>
      <c r="H48" s="1"/>
    </row>
    <row r="49" spans="1:8" x14ac:dyDescent="0.35">
      <c r="A49" s="2"/>
      <c r="B49" s="2"/>
      <c r="C49" s="2"/>
      <c r="D49" s="7"/>
      <c r="E49" s="6"/>
      <c r="F49" s="6"/>
      <c r="G49" s="1"/>
      <c r="H49" s="1"/>
    </row>
    <row r="50" spans="1:8" x14ac:dyDescent="0.35">
      <c r="D50" s="7" t="s">
        <v>24</v>
      </c>
      <c r="E50" s="6">
        <f>SUM(E3:E44)</f>
        <v>12788.479999999994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11" r:id="rId8" xr:uid="{30A401D7-C620-43B9-9D9E-19B3DC7BF553}"/>
    <hyperlink ref="G12" r:id="rId9" xr:uid="{9E7C13BC-99F6-4C00-8247-D65DF4039E02}"/>
    <hyperlink ref="G14" r:id="rId10" xr:uid="{D9870AF0-1C4B-473B-8416-474E754D5E7E}"/>
    <hyperlink ref="G15" r:id="rId11" xr:uid="{7E2805CC-0B04-4DB0-9F38-3741F75A7D1D}"/>
    <hyperlink ref="G16" r:id="rId12" xr:uid="{6AF56708-0BAB-42E8-A3AE-FD431334CF6C}"/>
    <hyperlink ref="G17" r:id="rId13" xr:uid="{F2324ACB-C085-42C4-8640-3C360A4D119E}"/>
    <hyperlink ref="G20" r:id="rId14" xr:uid="{36F5D6E3-807C-49A7-8D30-80566D9949D4}"/>
    <hyperlink ref="G22" r:id="rId15" xr:uid="{1F94BCB9-4D2C-4C92-8BF0-A4FC479E37E8}"/>
    <hyperlink ref="G23" r:id="rId16" xr:uid="{6624F982-B428-4251-AA28-31179DCD8937}"/>
    <hyperlink ref="G24" r:id="rId17" xr:uid="{58E2A489-0714-4655-8748-622D874EF6F8}"/>
    <hyperlink ref="G25" r:id="rId18" xr:uid="{81E87505-E60E-4515-89EA-9361938F7388}"/>
    <hyperlink ref="G26" r:id="rId19" xr:uid="{EFDA772F-CC83-4998-A756-1FADE307C734}"/>
    <hyperlink ref="G27" r:id="rId20" xr:uid="{F81462CE-4E7C-4FAB-8A8E-D305901B6FCF}"/>
    <hyperlink ref="G30" r:id="rId21" xr:uid="{0B3AB74B-6B3E-4207-9645-7AB7D6617AD3}"/>
    <hyperlink ref="G31" r:id="rId22" xr:uid="{5CF86D47-7D87-4635-9306-B8490C771687}"/>
    <hyperlink ref="G32" r:id="rId23" display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xr:uid="{A2DDC80C-6F39-4C44-B776-452B7FA8CAC3}"/>
    <hyperlink ref="G33" r:id="rId24" xr:uid="{71E7E2F7-3EA3-469E-BDBD-A5E1E2E4F347}"/>
    <hyperlink ref="G34" r:id="rId25" xr:uid="{F2165E25-79D9-4521-9261-0FF86CB8CEB1}"/>
    <hyperlink ref="G13" r:id="rId26" xr:uid="{2459F536-6BF7-4F95-8ED6-65EBE68E0306}"/>
    <hyperlink ref="H6" r:id="rId27" xr:uid="{A8C35020-1C53-4073-BE6C-0F6933CB1921}"/>
    <hyperlink ref="H5" r:id="rId28" xr:uid="{A49999D0-0D24-4148-A259-6949303F3996}"/>
    <hyperlink ref="H7" r:id="rId29" xr:uid="{D90F92BC-9947-4813-8C28-6009DA178051}"/>
    <hyperlink ref="G28" r:id="rId30" xr:uid="{F3415021-EB69-4CB6-B212-558D2454FF2B}"/>
    <hyperlink ref="H28" r:id="rId31" xr:uid="{E4EF5DF5-36DD-4B50-AF25-A19F9CE4857A}"/>
    <hyperlink ref="H32" r:id="rId32" xr:uid="{5A940B12-DD8E-47F3-8C44-FCBBD353757C}"/>
    <hyperlink ref="G37" r:id="rId33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8" r:id="rId34" xr:uid="{E263962D-47C1-49F9-A559-36360176D757}"/>
    <hyperlink ref="G18" r:id="rId35" xr:uid="{83A27BB2-9C4A-4120-9925-FBAA61079743}"/>
    <hyperlink ref="G35" r:id="rId36" xr:uid="{1E1A9060-9FD1-40EB-9CB4-035E777CB97F}"/>
    <hyperlink ref="G19" r:id="rId37" xr:uid="{E3301FAD-92C1-4805-8EF6-30AE4F47746A}"/>
    <hyperlink ref="G40" r:id="rId38" xr:uid="{94087BF9-485B-4DE1-AA9E-568F4259E676}"/>
    <hyperlink ref="G42" r:id="rId39" xr:uid="{6D79D5B6-03CD-4FCF-94AD-8DF566E11950}"/>
    <hyperlink ref="G43" r:id="rId40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H44" r:id="rId41" xr:uid="{B771626B-BE96-4E86-B8E7-5F4D421B11CC}"/>
    <hyperlink ref="G29" r:id="rId42" xr:uid="{9087F97E-6A29-4916-9C63-C220AC3B6655}"/>
    <hyperlink ref="G39" r:id="rId43" xr:uid="{3FA6174D-CFA4-4F51-8AB7-928DB84B83AE}"/>
  </hyperlinks>
  <pageMargins left="0.7" right="0.7" top="0.75" bottom="0.75" header="0.3" footer="0.3"/>
  <pageSetup orientation="portrait"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Cebastione Bailey</cp:lastModifiedBy>
  <cp:lastPrinted>2025-05-01T19:35:57Z</cp:lastPrinted>
  <dcterms:created xsi:type="dcterms:W3CDTF">2025-03-06T14:44:50Z</dcterms:created>
  <dcterms:modified xsi:type="dcterms:W3CDTF">2026-06-03T19:49:24Z</dcterms:modified>
</cp:coreProperties>
</file>